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34" documentId="8_{03CF19E6-14FF-42DF-A65A-087641EFCE04}" xr6:coauthVersionLast="47" xr6:coauthVersionMax="47" xr10:uidLastSave="{225F4B9D-F6EF-48CE-8E22-A132633DF984}"/>
  <bookViews>
    <workbookView xWindow="-108" yWindow="-108" windowWidth="23256" windowHeight="12576" xr2:uid="{F1461BAD-2C4B-4A1A-9BA5-8906247F7530}"/>
  </bookViews>
  <sheets>
    <sheet name="subject 3_Stroop experiment fin" sheetId="1" r:id="rId1"/>
    <sheet name="Sheet1" sheetId="2" r:id="rId2"/>
  </sheets>
  <definedNames>
    <definedName name="_xlnm._FilterDatabase" localSheetId="0" hidden="1">'subject 3_Stroop experiment fin'!$A$1:$AP$43</definedName>
  </definedNames>
  <calcPr calcId="0"/>
</workbook>
</file>

<file path=xl/calcChain.xml><?xml version="1.0" encoding="utf-8"?>
<calcChain xmlns="http://schemas.openxmlformats.org/spreadsheetml/2006/main">
  <c r="B50" i="1" l="1"/>
  <c r="B49" i="1"/>
  <c r="A24" i="2"/>
  <c r="B46" i="1"/>
  <c r="B47" i="1" s="1"/>
  <c r="B45" i="1"/>
</calcChain>
</file>

<file path=xl/sharedStrings.xml><?xml version="1.0" encoding="utf-8"?>
<sst xmlns="http://schemas.openxmlformats.org/spreadsheetml/2006/main" count="583" uniqueCount="66">
  <si>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</si>
  <si>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</si>
  <si>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</si>
  <si>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</si>
  <si>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</si>
  <si>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</si>
  <si>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</si>
  <si>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</si>
  <si>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</si>
  <si>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</si>
  <si>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</si>
  <si>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</si>
  <si>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</si>
  <si>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</si>
  <si>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</si>
  <si>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</si>
  <si>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</si>
  <si>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</si>
  <si>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</si>
  <si>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</si>
  <si>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</si>
  <si>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</si>
  <si>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</si>
  <si>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</si>
  <si>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</si>
  <si>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</si>
  <si>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</si>
  <si>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</si>
  <si>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</si>
  <si>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</si>
  <si>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</si>
  <si>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</si>
  <si>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</si>
  <si>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</si>
  <si>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</si>
  <si>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</si>
  <si>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</si>
  <si>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</si>
  <si>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</si>
  <si>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</si>
  <si>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</si>
  <si>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</si>
  <si>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subject 3</t>
  </si>
  <si>
    <t>2025-08-25_17h41.47.102</t>
  </si>
  <si>
    <t>Stroop experiment final</t>
  </si>
  <si>
    <t>2025.2.0</t>
  </si>
  <si>
    <t>2025-08-25 17h41.47.215449 +0530</t>
  </si>
  <si>
    <t>RED</t>
  </si>
  <si>
    <t>red</t>
  </si>
  <si>
    <t>C</t>
  </si>
  <si>
    <t>r</t>
  </si>
  <si>
    <t>None</t>
  </si>
  <si>
    <t>blue</t>
  </si>
  <si>
    <t>I</t>
  </si>
  <si>
    <t>b</t>
  </si>
  <si>
    <t>BLUE</t>
  </si>
  <si>
    <t>congruent avg</t>
  </si>
  <si>
    <t>incongruent avg</t>
  </si>
  <si>
    <t>Congruent</t>
  </si>
  <si>
    <t>Incongruent</t>
  </si>
  <si>
    <t>RT</t>
  </si>
  <si>
    <t>P value</t>
  </si>
  <si>
    <t>T-test</t>
  </si>
  <si>
    <t>std congruent</t>
  </si>
  <si>
    <t>std incongruent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</si>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</sst>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A26C-5B0B-41B1-BE11-54EAF52D4BFA}">
  <dimension ref="A1:AP50"/>
  <sheetViews>
    <sheetView tabSelected="1" topLeftCell="A33" workbookViewId="0">
      <selection activeCell="F55" sqref="F55"/>
    </sheetView>
  </sheetViews>
  <sheetFormatPr defaultRowHeight="14.4" x14ac:dyDescent="0.3"/>
  <cols>
    <col min="1" max="1" width="14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R2">
        <v>1.7450000159442401E-3</v>
      </c>
      <c r="S2">
        <v>3.9604000048711896E-3</v>
      </c>
      <c r="T2">
        <v>1.0025467000086701</v>
      </c>
      <c r="AI2" t="s">
        <v>42</v>
      </c>
      <c r="AJ2">
        <v>1</v>
      </c>
      <c r="AK2" t="s">
        <v>43</v>
      </c>
      <c r="AL2" t="s">
        <v>44</v>
      </c>
      <c r="AN2" t="s">
        <v>45</v>
      </c>
      <c r="AO2">
        <v>59.891859258221302</v>
      </c>
      <c r="AP2" t="s">
        <v>46</v>
      </c>
    </row>
    <row r="3" spans="1:42" x14ac:dyDescent="0.3">
      <c r="A3" t="s">
        <v>47</v>
      </c>
      <c r="B3" t="s">
        <v>48</v>
      </c>
      <c r="C3" t="s">
        <v>49</v>
      </c>
      <c r="D3" t="s">
        <v>50</v>
      </c>
      <c r="E3">
        <v>0</v>
      </c>
      <c r="F3">
        <v>0</v>
      </c>
      <c r="G3">
        <v>0</v>
      </c>
      <c r="H3" t="s">
        <v>50</v>
      </c>
      <c r="I3">
        <v>1</v>
      </c>
      <c r="J3">
        <v>2.4481531999772401</v>
      </c>
      <c r="K3" t="s">
        <v>51</v>
      </c>
      <c r="L3">
        <v>0</v>
      </c>
      <c r="M3">
        <v>0</v>
      </c>
      <c r="N3">
        <v>0</v>
      </c>
      <c r="O3">
        <v>0</v>
      </c>
      <c r="P3">
        <v>1.0307277000392701</v>
      </c>
      <c r="U3">
        <v>1.0282562000211299</v>
      </c>
      <c r="V3">
        <v>1.0307277000392701</v>
      </c>
      <c r="W3">
        <v>1.5019540000357601</v>
      </c>
      <c r="X3">
        <v>1.5019540000357601</v>
      </c>
      <c r="Y3">
        <v>1.5019540000357601</v>
      </c>
      <c r="Z3">
        <v>3.96838279999792</v>
      </c>
      <c r="AA3" t="s">
        <v>50</v>
      </c>
      <c r="AB3">
        <v>1</v>
      </c>
      <c r="AC3">
        <v>2.4481531999772401</v>
      </c>
      <c r="AD3" t="s">
        <v>51</v>
      </c>
      <c r="AI3" t="s">
        <v>42</v>
      </c>
      <c r="AJ3">
        <v>1</v>
      </c>
      <c r="AK3" t="s">
        <v>43</v>
      </c>
      <c r="AL3" t="s">
        <v>44</v>
      </c>
      <c r="AN3" t="s">
        <v>45</v>
      </c>
      <c r="AO3">
        <v>59.891859258221302</v>
      </c>
      <c r="AP3" t="s">
        <v>46</v>
      </c>
    </row>
    <row r="4" spans="1:42" x14ac:dyDescent="0.3">
      <c r="A4" t="s">
        <v>47</v>
      </c>
      <c r="B4" t="s">
        <v>52</v>
      </c>
      <c r="C4" t="s">
        <v>53</v>
      </c>
      <c r="D4" t="s">
        <v>54</v>
      </c>
      <c r="E4">
        <v>1</v>
      </c>
      <c r="F4">
        <v>1</v>
      </c>
      <c r="G4">
        <v>0</v>
      </c>
      <c r="H4" t="s">
        <v>54</v>
      </c>
      <c r="I4">
        <v>1</v>
      </c>
      <c r="J4">
        <v>1.5497392999823201</v>
      </c>
      <c r="K4" t="s">
        <v>51</v>
      </c>
      <c r="L4">
        <v>0</v>
      </c>
      <c r="M4">
        <v>1</v>
      </c>
      <c r="N4">
        <v>1</v>
      </c>
      <c r="O4">
        <v>1</v>
      </c>
      <c r="P4">
        <v>3.9712412999942899</v>
      </c>
      <c r="U4">
        <v>3.96914370002923</v>
      </c>
      <c r="V4">
        <v>3.9712412999942899</v>
      </c>
      <c r="W4">
        <v>4.48334299999987</v>
      </c>
      <c r="X4">
        <v>4.48334299999987</v>
      </c>
      <c r="Y4">
        <v>4.48334299999987</v>
      </c>
      <c r="Z4">
        <v>6.0498164000455201</v>
      </c>
      <c r="AA4" t="s">
        <v>54</v>
      </c>
      <c r="AB4">
        <v>1</v>
      </c>
      <c r="AC4">
        <v>1.5497392999823201</v>
      </c>
      <c r="AD4" t="s">
        <v>51</v>
      </c>
      <c r="AI4" t="s">
        <v>42</v>
      </c>
      <c r="AJ4">
        <v>1</v>
      </c>
      <c r="AK4" t="s">
        <v>43</v>
      </c>
      <c r="AL4" t="s">
        <v>44</v>
      </c>
      <c r="AN4" t="s">
        <v>45</v>
      </c>
      <c r="AO4">
        <v>59.891859258221302</v>
      </c>
      <c r="AP4" t="s">
        <v>46</v>
      </c>
    </row>
    <row r="5" spans="1:42" x14ac:dyDescent="0.3">
      <c r="A5" t="s">
        <v>55</v>
      </c>
      <c r="B5" t="s">
        <v>48</v>
      </c>
      <c r="C5" t="s">
        <v>53</v>
      </c>
      <c r="D5" t="s">
        <v>50</v>
      </c>
      <c r="E5">
        <v>2</v>
      </c>
      <c r="F5">
        <v>2</v>
      </c>
      <c r="G5">
        <v>0</v>
      </c>
      <c r="H5" t="s">
        <v>54</v>
      </c>
      <c r="I5">
        <v>0</v>
      </c>
      <c r="J5">
        <v>1.0554888999904499</v>
      </c>
      <c r="K5" t="s">
        <v>51</v>
      </c>
      <c r="L5">
        <v>0</v>
      </c>
      <c r="M5">
        <v>2</v>
      </c>
      <c r="N5">
        <v>2</v>
      </c>
      <c r="O5">
        <v>2</v>
      </c>
      <c r="P5">
        <v>6.0656294000218596</v>
      </c>
      <c r="U5">
        <v>6.0600051000365003</v>
      </c>
      <c r="V5">
        <v>6.0656294000218596</v>
      </c>
      <c r="W5">
        <v>6.5652756000053998</v>
      </c>
      <c r="X5">
        <v>6.5652756000053998</v>
      </c>
      <c r="Y5">
        <v>6.5652756000053998</v>
      </c>
      <c r="Z5">
        <v>7.6320043000159696</v>
      </c>
      <c r="AA5" t="s">
        <v>54</v>
      </c>
      <c r="AB5">
        <v>0</v>
      </c>
      <c r="AC5">
        <v>1.0554888999904499</v>
      </c>
      <c r="AD5" t="s">
        <v>51</v>
      </c>
      <c r="AI5" t="s">
        <v>42</v>
      </c>
      <c r="AJ5">
        <v>1</v>
      </c>
      <c r="AK5" t="s">
        <v>43</v>
      </c>
      <c r="AL5" t="s">
        <v>44</v>
      </c>
      <c r="AN5" t="s">
        <v>45</v>
      </c>
      <c r="AO5">
        <v>59.891859258221302</v>
      </c>
      <c r="AP5" t="s">
        <v>46</v>
      </c>
    </row>
    <row r="6" spans="1:42" x14ac:dyDescent="0.3">
      <c r="A6" t="s">
        <v>55</v>
      </c>
      <c r="B6" t="s">
        <v>52</v>
      </c>
      <c r="C6" t="s">
        <v>49</v>
      </c>
      <c r="D6" t="s">
        <v>54</v>
      </c>
      <c r="E6">
        <v>3</v>
      </c>
      <c r="F6">
        <v>3</v>
      </c>
      <c r="G6">
        <v>0</v>
      </c>
      <c r="H6" t="s">
        <v>54</v>
      </c>
      <c r="I6">
        <v>1</v>
      </c>
      <c r="J6">
        <v>1.44279760000063</v>
      </c>
      <c r="K6" t="s">
        <v>51</v>
      </c>
      <c r="L6">
        <v>0</v>
      </c>
      <c r="M6">
        <v>3</v>
      </c>
      <c r="N6">
        <v>3</v>
      </c>
      <c r="O6">
        <v>3</v>
      </c>
      <c r="P6">
        <v>7.6480068000382699</v>
      </c>
      <c r="U6">
        <v>7.6329450000193901</v>
      </c>
      <c r="V6">
        <v>7.6480068000382699</v>
      </c>
      <c r="W6">
        <v>8.1309852999984198</v>
      </c>
      <c r="X6">
        <v>8.1309852999984198</v>
      </c>
      <c r="Y6">
        <v>8.1309852999984198</v>
      </c>
      <c r="Z6">
        <v>9.5806615999899805</v>
      </c>
      <c r="AA6" t="s">
        <v>54</v>
      </c>
      <c r="AB6">
        <v>1</v>
      </c>
      <c r="AC6">
        <v>1.44279760000063</v>
      </c>
      <c r="AD6" t="s">
        <v>51</v>
      </c>
      <c r="AI6" t="s">
        <v>42</v>
      </c>
      <c r="AJ6">
        <v>1</v>
      </c>
      <c r="AK6" t="s">
        <v>43</v>
      </c>
      <c r="AL6" t="s">
        <v>44</v>
      </c>
      <c r="AN6" t="s">
        <v>45</v>
      </c>
      <c r="AO6">
        <v>59.891859258221302</v>
      </c>
      <c r="AP6" t="s">
        <v>46</v>
      </c>
    </row>
    <row r="7" spans="1:42" x14ac:dyDescent="0.3">
      <c r="A7" t="s">
        <v>55</v>
      </c>
      <c r="B7" t="s">
        <v>48</v>
      </c>
      <c r="C7" t="s">
        <v>53</v>
      </c>
      <c r="D7" t="s">
        <v>50</v>
      </c>
      <c r="E7">
        <v>4</v>
      </c>
      <c r="F7">
        <v>0</v>
      </c>
      <c r="G7">
        <v>1</v>
      </c>
      <c r="H7" t="s">
        <v>50</v>
      </c>
      <c r="I7">
        <v>1</v>
      </c>
      <c r="J7">
        <v>0.99414710002020001</v>
      </c>
      <c r="K7" t="s">
        <v>51</v>
      </c>
      <c r="L7">
        <v>1</v>
      </c>
      <c r="M7">
        <v>0</v>
      </c>
      <c r="N7">
        <v>4</v>
      </c>
      <c r="O7">
        <v>2</v>
      </c>
      <c r="P7">
        <v>9.5968473000102605</v>
      </c>
      <c r="U7">
        <v>9.5816154000349307</v>
      </c>
      <c r="V7">
        <v>9.5968473000102605</v>
      </c>
      <c r="W7">
        <v>10.0961046000011</v>
      </c>
      <c r="X7">
        <v>10.0961046000011</v>
      </c>
      <c r="Y7">
        <v>10.0961046000011</v>
      </c>
      <c r="Z7">
        <v>11.0965417000115</v>
      </c>
      <c r="AA7" t="s">
        <v>50</v>
      </c>
      <c r="AB7">
        <v>1</v>
      </c>
      <c r="AC7">
        <v>0.99414710002020001</v>
      </c>
      <c r="AD7" t="s">
        <v>51</v>
      </c>
      <c r="AI7" t="s">
        <v>42</v>
      </c>
      <c r="AJ7">
        <v>1</v>
      </c>
      <c r="AK7" t="s">
        <v>43</v>
      </c>
      <c r="AL7" t="s">
        <v>44</v>
      </c>
      <c r="AN7" t="s">
        <v>45</v>
      </c>
      <c r="AO7">
        <v>59.891859258221302</v>
      </c>
      <c r="AP7" t="s">
        <v>46</v>
      </c>
    </row>
    <row r="8" spans="1:42" x14ac:dyDescent="0.3">
      <c r="A8" t="s">
        <v>47</v>
      </c>
      <c r="B8" t="s">
        <v>48</v>
      </c>
      <c r="C8" t="s">
        <v>49</v>
      </c>
      <c r="D8" t="s">
        <v>50</v>
      </c>
      <c r="E8">
        <v>5</v>
      </c>
      <c r="F8">
        <v>1</v>
      </c>
      <c r="G8">
        <v>1</v>
      </c>
      <c r="H8" t="s">
        <v>50</v>
      </c>
      <c r="I8">
        <v>1</v>
      </c>
      <c r="J8">
        <v>0.90328999998746395</v>
      </c>
      <c r="K8" t="s">
        <v>51</v>
      </c>
      <c r="L8">
        <v>1</v>
      </c>
      <c r="M8">
        <v>1</v>
      </c>
      <c r="N8">
        <v>5</v>
      </c>
      <c r="O8">
        <v>0</v>
      </c>
      <c r="P8">
        <v>11.1124094999977</v>
      </c>
      <c r="U8">
        <v>11.1007817999925</v>
      </c>
      <c r="V8">
        <v>11.1124094999977</v>
      </c>
      <c r="W8">
        <v>11.6121799999964</v>
      </c>
      <c r="X8">
        <v>11.6121799999964</v>
      </c>
      <c r="Y8">
        <v>11.6121799999964</v>
      </c>
      <c r="Z8">
        <v>12.528701900038801</v>
      </c>
      <c r="AA8" t="s">
        <v>50</v>
      </c>
      <c r="AB8">
        <v>1</v>
      </c>
      <c r="AC8">
        <v>0.90328999998746395</v>
      </c>
      <c r="AD8" t="s">
        <v>51</v>
      </c>
      <c r="AI8" t="s">
        <v>42</v>
      </c>
      <c r="AJ8">
        <v>1</v>
      </c>
      <c r="AK8" t="s">
        <v>43</v>
      </c>
      <c r="AL8" t="s">
        <v>44</v>
      </c>
      <c r="AN8" t="s">
        <v>45</v>
      </c>
      <c r="AO8">
        <v>59.891859258221302</v>
      </c>
      <c r="AP8" t="s">
        <v>46</v>
      </c>
    </row>
    <row r="9" spans="1:42" x14ac:dyDescent="0.3">
      <c r="A9" t="s">
        <v>47</v>
      </c>
      <c r="B9" t="s">
        <v>52</v>
      </c>
      <c r="C9" t="s">
        <v>53</v>
      </c>
      <c r="D9" t="s">
        <v>54</v>
      </c>
      <c r="E9">
        <v>6</v>
      </c>
      <c r="F9">
        <v>2</v>
      </c>
      <c r="G9">
        <v>1</v>
      </c>
      <c r="H9" t="s">
        <v>54</v>
      </c>
      <c r="I9">
        <v>1</v>
      </c>
      <c r="J9">
        <v>0.89929039997514304</v>
      </c>
      <c r="K9" t="s">
        <v>51</v>
      </c>
      <c r="L9">
        <v>1</v>
      </c>
      <c r="M9">
        <v>2</v>
      </c>
      <c r="N9">
        <v>6</v>
      </c>
      <c r="O9">
        <v>1</v>
      </c>
      <c r="P9">
        <v>12.5449295000289</v>
      </c>
      <c r="U9">
        <v>12.529657700040801</v>
      </c>
      <c r="V9">
        <v>12.5449295000289</v>
      </c>
      <c r="W9">
        <v>13.044623200024899</v>
      </c>
      <c r="X9">
        <v>13.044623200024899</v>
      </c>
      <c r="Y9">
        <v>13.044623200024899</v>
      </c>
      <c r="Z9">
        <v>13.9446952000143</v>
      </c>
      <c r="AA9" t="s">
        <v>54</v>
      </c>
      <c r="AB9">
        <v>1</v>
      </c>
      <c r="AC9">
        <v>0.89929039997514304</v>
      </c>
      <c r="AD9" t="s">
        <v>51</v>
      </c>
      <c r="AI9" t="s">
        <v>42</v>
      </c>
      <c r="AJ9">
        <v>1</v>
      </c>
      <c r="AK9" t="s">
        <v>43</v>
      </c>
      <c r="AL9" t="s">
        <v>44</v>
      </c>
      <c r="AN9" t="s">
        <v>45</v>
      </c>
      <c r="AO9">
        <v>59.891859258221302</v>
      </c>
      <c r="AP9" t="s">
        <v>46</v>
      </c>
    </row>
    <row r="10" spans="1:42" x14ac:dyDescent="0.3">
      <c r="A10" t="s">
        <v>55</v>
      </c>
      <c r="B10" t="s">
        <v>52</v>
      </c>
      <c r="C10" t="s">
        <v>49</v>
      </c>
      <c r="D10" t="s">
        <v>54</v>
      </c>
      <c r="E10">
        <v>7</v>
      </c>
      <c r="F10">
        <v>3</v>
      </c>
      <c r="G10">
        <v>1</v>
      </c>
      <c r="H10" t="s">
        <v>54</v>
      </c>
      <c r="I10">
        <v>1</v>
      </c>
      <c r="J10">
        <v>0.66632379998918601</v>
      </c>
      <c r="K10" t="s">
        <v>51</v>
      </c>
      <c r="L10">
        <v>1</v>
      </c>
      <c r="M10">
        <v>3</v>
      </c>
      <c r="N10">
        <v>7</v>
      </c>
      <c r="O10">
        <v>3</v>
      </c>
      <c r="P10">
        <v>13.960623999999299</v>
      </c>
      <c r="U10">
        <v>13.9493018999928</v>
      </c>
      <c r="V10">
        <v>13.960623999999299</v>
      </c>
      <c r="W10">
        <v>14.4601640999899</v>
      </c>
      <c r="X10">
        <v>14.4601640999899</v>
      </c>
      <c r="Y10">
        <v>14.4601640999899</v>
      </c>
      <c r="Z10">
        <v>15.127512100036199</v>
      </c>
      <c r="AA10" t="s">
        <v>54</v>
      </c>
      <c r="AB10">
        <v>1</v>
      </c>
      <c r="AC10">
        <v>0.66632379998918601</v>
      </c>
      <c r="AD10" t="s">
        <v>51</v>
      </c>
      <c r="AI10" t="s">
        <v>42</v>
      </c>
      <c r="AJ10">
        <v>1</v>
      </c>
      <c r="AK10" t="s">
        <v>43</v>
      </c>
      <c r="AL10" t="s">
        <v>44</v>
      </c>
      <c r="AN10" t="s">
        <v>45</v>
      </c>
      <c r="AO10">
        <v>59.891859258221302</v>
      </c>
      <c r="AP10" t="s">
        <v>46</v>
      </c>
    </row>
    <row r="11" spans="1:42" x14ac:dyDescent="0.3">
      <c r="A11" t="s">
        <v>55</v>
      </c>
      <c r="B11" t="s">
        <v>48</v>
      </c>
      <c r="C11" t="s">
        <v>53</v>
      </c>
      <c r="D11" t="s">
        <v>50</v>
      </c>
      <c r="E11">
        <v>8</v>
      </c>
      <c r="F11">
        <v>0</v>
      </c>
      <c r="G11">
        <v>2</v>
      </c>
      <c r="H11" t="s">
        <v>50</v>
      </c>
      <c r="I11">
        <v>1</v>
      </c>
      <c r="J11">
        <v>1.14087330002803</v>
      </c>
      <c r="K11" t="s">
        <v>51</v>
      </c>
      <c r="L11">
        <v>2</v>
      </c>
      <c r="M11">
        <v>0</v>
      </c>
      <c r="N11">
        <v>8</v>
      </c>
      <c r="O11">
        <v>2</v>
      </c>
      <c r="P11">
        <v>15.143264100013701</v>
      </c>
      <c r="U11">
        <v>15.128394300001601</v>
      </c>
      <c r="V11">
        <v>15.143264100013701</v>
      </c>
      <c r="W11">
        <v>15.642902999999899</v>
      </c>
      <c r="X11">
        <v>15.642902999999899</v>
      </c>
      <c r="Y11">
        <v>15.642902999999899</v>
      </c>
      <c r="Z11">
        <v>16.792813600040901</v>
      </c>
      <c r="AA11" t="s">
        <v>50</v>
      </c>
      <c r="AB11">
        <v>1</v>
      </c>
      <c r="AC11">
        <v>1.14087330002803</v>
      </c>
      <c r="AD11" t="s">
        <v>51</v>
      </c>
      <c r="AI11" t="s">
        <v>42</v>
      </c>
      <c r="AJ11">
        <v>1</v>
      </c>
      <c r="AK11" t="s">
        <v>43</v>
      </c>
      <c r="AL11" t="s">
        <v>44</v>
      </c>
      <c r="AN11" t="s">
        <v>45</v>
      </c>
      <c r="AO11">
        <v>59.891859258221302</v>
      </c>
      <c r="AP11" t="s">
        <v>46</v>
      </c>
    </row>
    <row r="12" spans="1:42" x14ac:dyDescent="0.3">
      <c r="A12" t="s">
        <v>47</v>
      </c>
      <c r="B12" t="s">
        <v>48</v>
      </c>
      <c r="C12" t="s">
        <v>49</v>
      </c>
      <c r="D12" t="s">
        <v>50</v>
      </c>
      <c r="E12">
        <v>9</v>
      </c>
      <c r="F12">
        <v>1</v>
      </c>
      <c r="G12">
        <v>2</v>
      </c>
      <c r="H12" t="s">
        <v>50</v>
      </c>
      <c r="I12">
        <v>1</v>
      </c>
      <c r="J12">
        <v>0.52325440000277001</v>
      </c>
      <c r="K12" t="s">
        <v>51</v>
      </c>
      <c r="L12">
        <v>2</v>
      </c>
      <c r="M12">
        <v>1</v>
      </c>
      <c r="N12">
        <v>9</v>
      </c>
      <c r="O12">
        <v>0</v>
      </c>
      <c r="P12">
        <v>16.808802000014101</v>
      </c>
      <c r="U12">
        <v>16.796699600003102</v>
      </c>
      <c r="V12">
        <v>16.808802000014101</v>
      </c>
      <c r="W12">
        <v>17.308556900010402</v>
      </c>
      <c r="X12">
        <v>17.308556900010402</v>
      </c>
      <c r="Y12">
        <v>17.308556900010402</v>
      </c>
      <c r="Z12">
        <v>17.842231500020699</v>
      </c>
      <c r="AA12" t="s">
        <v>50</v>
      </c>
      <c r="AB12">
        <v>1</v>
      </c>
      <c r="AC12">
        <v>0.52325440000277001</v>
      </c>
      <c r="AD12" t="s">
        <v>51</v>
      </c>
      <c r="AI12" t="s">
        <v>42</v>
      </c>
      <c r="AJ12">
        <v>1</v>
      </c>
      <c r="AK12" t="s">
        <v>43</v>
      </c>
      <c r="AL12" t="s">
        <v>44</v>
      </c>
      <c r="AN12" t="s">
        <v>45</v>
      </c>
      <c r="AO12">
        <v>59.891859258221302</v>
      </c>
      <c r="AP12" t="s">
        <v>46</v>
      </c>
    </row>
    <row r="13" spans="1:42" x14ac:dyDescent="0.3">
      <c r="A13" t="s">
        <v>47</v>
      </c>
      <c r="B13" t="s">
        <v>52</v>
      </c>
      <c r="C13" t="s">
        <v>53</v>
      </c>
      <c r="D13" t="s">
        <v>54</v>
      </c>
      <c r="E13">
        <v>10</v>
      </c>
      <c r="F13">
        <v>2</v>
      </c>
      <c r="G13">
        <v>2</v>
      </c>
      <c r="H13" t="s">
        <v>54</v>
      </c>
      <c r="I13">
        <v>1</v>
      </c>
      <c r="J13">
        <v>1.0459967000060699</v>
      </c>
      <c r="K13" t="s">
        <v>51</v>
      </c>
      <c r="L13">
        <v>2</v>
      </c>
      <c r="M13">
        <v>2</v>
      </c>
      <c r="N13">
        <v>10</v>
      </c>
      <c r="O13">
        <v>1</v>
      </c>
      <c r="P13">
        <v>17.858221500006</v>
      </c>
      <c r="U13">
        <v>17.843151400040298</v>
      </c>
      <c r="V13">
        <v>17.858221500006</v>
      </c>
      <c r="W13">
        <v>18.357892600004501</v>
      </c>
      <c r="X13">
        <v>18.357892600004501</v>
      </c>
      <c r="Y13">
        <v>18.357892600004501</v>
      </c>
      <c r="Z13">
        <v>19.407898500037799</v>
      </c>
      <c r="AA13" t="s">
        <v>54</v>
      </c>
      <c r="AB13">
        <v>1</v>
      </c>
      <c r="AC13">
        <v>1.0459967000060699</v>
      </c>
      <c r="AD13" t="s">
        <v>51</v>
      </c>
      <c r="AI13" t="s">
        <v>42</v>
      </c>
      <c r="AJ13">
        <v>1</v>
      </c>
      <c r="AK13" t="s">
        <v>43</v>
      </c>
      <c r="AL13" t="s">
        <v>44</v>
      </c>
      <c r="AN13" t="s">
        <v>45</v>
      </c>
      <c r="AO13">
        <v>59.891859258221302</v>
      </c>
      <c r="AP13" t="s">
        <v>46</v>
      </c>
    </row>
    <row r="14" spans="1:42" x14ac:dyDescent="0.3">
      <c r="A14" t="s">
        <v>55</v>
      </c>
      <c r="B14" t="s">
        <v>52</v>
      </c>
      <c r="C14" t="s">
        <v>49</v>
      </c>
      <c r="D14" t="s">
        <v>54</v>
      </c>
      <c r="E14">
        <v>11</v>
      </c>
      <c r="F14">
        <v>3</v>
      </c>
      <c r="G14">
        <v>2</v>
      </c>
      <c r="H14" t="s">
        <v>54</v>
      </c>
      <c r="I14">
        <v>1</v>
      </c>
      <c r="J14">
        <v>0.38581249996786898</v>
      </c>
      <c r="K14" t="s">
        <v>51</v>
      </c>
      <c r="L14">
        <v>2</v>
      </c>
      <c r="M14">
        <v>3</v>
      </c>
      <c r="N14">
        <v>11</v>
      </c>
      <c r="O14">
        <v>3</v>
      </c>
      <c r="P14">
        <v>19.423842100019101</v>
      </c>
      <c r="U14">
        <v>19.412252100009901</v>
      </c>
      <c r="V14">
        <v>19.423842100019101</v>
      </c>
      <c r="W14">
        <v>19.923501000041099</v>
      </c>
      <c r="X14">
        <v>19.923501000041099</v>
      </c>
      <c r="Y14">
        <v>19.923501000041099</v>
      </c>
      <c r="Z14">
        <v>20.3236609000014</v>
      </c>
      <c r="AA14" t="s">
        <v>54</v>
      </c>
      <c r="AB14">
        <v>1</v>
      </c>
      <c r="AC14">
        <v>0.38581249996786898</v>
      </c>
      <c r="AD14" t="s">
        <v>51</v>
      </c>
      <c r="AI14" t="s">
        <v>42</v>
      </c>
      <c r="AJ14">
        <v>1</v>
      </c>
      <c r="AK14" t="s">
        <v>43</v>
      </c>
      <c r="AL14" t="s">
        <v>44</v>
      </c>
      <c r="AN14" t="s">
        <v>45</v>
      </c>
      <c r="AO14">
        <v>59.891859258221302</v>
      </c>
      <c r="AP14" t="s">
        <v>46</v>
      </c>
    </row>
    <row r="15" spans="1:42" x14ac:dyDescent="0.3">
      <c r="A15" t="s">
        <v>47</v>
      </c>
      <c r="B15" t="s">
        <v>52</v>
      </c>
      <c r="C15" t="s">
        <v>53</v>
      </c>
      <c r="D15" t="s">
        <v>54</v>
      </c>
      <c r="E15">
        <v>12</v>
      </c>
      <c r="F15">
        <v>0</v>
      </c>
      <c r="G15">
        <v>3</v>
      </c>
      <c r="H15" t="s">
        <v>54</v>
      </c>
      <c r="I15">
        <v>1</v>
      </c>
      <c r="J15">
        <v>1.01344670000253</v>
      </c>
      <c r="K15" t="s">
        <v>51</v>
      </c>
      <c r="L15">
        <v>3</v>
      </c>
      <c r="M15">
        <v>0</v>
      </c>
      <c r="N15">
        <v>12</v>
      </c>
      <c r="O15">
        <v>1</v>
      </c>
      <c r="P15">
        <v>20.339695500035301</v>
      </c>
      <c r="U15">
        <v>20.327437700005198</v>
      </c>
      <c r="V15">
        <v>20.339695500035301</v>
      </c>
      <c r="W15">
        <v>20.822812600003001</v>
      </c>
      <c r="X15">
        <v>20.822812600003001</v>
      </c>
      <c r="Y15">
        <v>20.822812600003001</v>
      </c>
      <c r="Z15">
        <v>21.8394315000041</v>
      </c>
      <c r="AA15" t="s">
        <v>54</v>
      </c>
      <c r="AB15">
        <v>1</v>
      </c>
      <c r="AC15">
        <v>1.01344670000253</v>
      </c>
      <c r="AD15" t="s">
        <v>51</v>
      </c>
      <c r="AI15" t="s">
        <v>42</v>
      </c>
      <c r="AJ15">
        <v>1</v>
      </c>
      <c r="AK15" t="s">
        <v>43</v>
      </c>
      <c r="AL15" t="s">
        <v>44</v>
      </c>
      <c r="AN15" t="s">
        <v>45</v>
      </c>
      <c r="AO15">
        <v>59.891859258221302</v>
      </c>
      <c r="AP15" t="s">
        <v>46</v>
      </c>
    </row>
    <row r="16" spans="1:42" x14ac:dyDescent="0.3">
      <c r="A16" t="s">
        <v>55</v>
      </c>
      <c r="B16" t="s">
        <v>52</v>
      </c>
      <c r="C16" t="s">
        <v>49</v>
      </c>
      <c r="D16" t="s">
        <v>54</v>
      </c>
      <c r="E16">
        <v>13</v>
      </c>
      <c r="F16">
        <v>1</v>
      </c>
      <c r="G16">
        <v>3</v>
      </c>
      <c r="H16" t="s">
        <v>54</v>
      </c>
      <c r="I16">
        <v>1</v>
      </c>
      <c r="J16">
        <v>0.52483470004517496</v>
      </c>
      <c r="K16" t="s">
        <v>51</v>
      </c>
      <c r="L16">
        <v>3</v>
      </c>
      <c r="M16">
        <v>1</v>
      </c>
      <c r="N16">
        <v>13</v>
      </c>
      <c r="O16">
        <v>3</v>
      </c>
      <c r="P16">
        <v>21.855578800023</v>
      </c>
      <c r="U16">
        <v>21.843928800022599</v>
      </c>
      <c r="V16">
        <v>21.855578800023</v>
      </c>
      <c r="W16">
        <v>22.3387184000457</v>
      </c>
      <c r="X16">
        <v>22.3387184000457</v>
      </c>
      <c r="Y16">
        <v>22.3387184000457</v>
      </c>
      <c r="Z16">
        <v>22.872221700032199</v>
      </c>
      <c r="AA16" t="s">
        <v>54</v>
      </c>
      <c r="AB16">
        <v>1</v>
      </c>
      <c r="AC16">
        <v>0.52483470004517496</v>
      </c>
      <c r="AD16" t="s">
        <v>51</v>
      </c>
      <c r="AI16" t="s">
        <v>42</v>
      </c>
      <c r="AJ16">
        <v>1</v>
      </c>
      <c r="AK16" t="s">
        <v>43</v>
      </c>
      <c r="AL16" t="s">
        <v>44</v>
      </c>
      <c r="AN16" t="s">
        <v>45</v>
      </c>
      <c r="AO16">
        <v>59.891859258221302</v>
      </c>
      <c r="AP16" t="s">
        <v>46</v>
      </c>
    </row>
    <row r="17" spans="1:42" x14ac:dyDescent="0.3">
      <c r="A17" t="s">
        <v>55</v>
      </c>
      <c r="B17" t="s">
        <v>48</v>
      </c>
      <c r="C17" t="s">
        <v>53</v>
      </c>
      <c r="D17" t="s">
        <v>50</v>
      </c>
      <c r="E17">
        <v>14</v>
      </c>
      <c r="F17">
        <v>2</v>
      </c>
      <c r="G17">
        <v>3</v>
      </c>
      <c r="H17" t="s">
        <v>50</v>
      </c>
      <c r="I17">
        <v>1</v>
      </c>
      <c r="J17">
        <v>0.82318949996260904</v>
      </c>
      <c r="K17" t="s">
        <v>51</v>
      </c>
      <c r="L17">
        <v>3</v>
      </c>
      <c r="M17">
        <v>2</v>
      </c>
      <c r="N17">
        <v>14</v>
      </c>
      <c r="O17">
        <v>2</v>
      </c>
      <c r="P17">
        <v>22.888347900006899</v>
      </c>
      <c r="U17">
        <v>22.873075900017199</v>
      </c>
      <c r="V17">
        <v>22.888347900006899</v>
      </c>
      <c r="W17">
        <v>23.3713759999955</v>
      </c>
      <c r="X17">
        <v>23.3713759999955</v>
      </c>
      <c r="Y17">
        <v>23.3713759999955</v>
      </c>
      <c r="Z17">
        <v>24.2047594999894</v>
      </c>
      <c r="AA17" t="s">
        <v>50</v>
      </c>
      <c r="AB17">
        <v>1</v>
      </c>
      <c r="AC17">
        <v>0.82318949996260904</v>
      </c>
      <c r="AD17" t="s">
        <v>51</v>
      </c>
      <c r="AI17" t="s">
        <v>42</v>
      </c>
      <c r="AJ17">
        <v>1</v>
      </c>
      <c r="AK17" t="s">
        <v>43</v>
      </c>
      <c r="AL17" t="s">
        <v>44</v>
      </c>
      <c r="AN17" t="s">
        <v>45</v>
      </c>
      <c r="AO17">
        <v>59.891859258221302</v>
      </c>
      <c r="AP17" t="s">
        <v>46</v>
      </c>
    </row>
    <row r="18" spans="1:42" x14ac:dyDescent="0.3">
      <c r="A18" t="s">
        <v>47</v>
      </c>
      <c r="B18" t="s">
        <v>48</v>
      </c>
      <c r="C18" t="s">
        <v>49</v>
      </c>
      <c r="D18" t="s">
        <v>50</v>
      </c>
      <c r="E18">
        <v>15</v>
      </c>
      <c r="F18">
        <v>3</v>
      </c>
      <c r="G18">
        <v>3</v>
      </c>
      <c r="H18" t="s">
        <v>50</v>
      </c>
      <c r="I18">
        <v>1</v>
      </c>
      <c r="J18">
        <v>0.35396610002499002</v>
      </c>
      <c r="K18" t="s">
        <v>51</v>
      </c>
      <c r="L18">
        <v>3</v>
      </c>
      <c r="M18">
        <v>3</v>
      </c>
      <c r="N18">
        <v>15</v>
      </c>
      <c r="O18">
        <v>0</v>
      </c>
      <c r="P18">
        <v>24.22074780002</v>
      </c>
      <c r="U18">
        <v>24.209177600045201</v>
      </c>
      <c r="V18">
        <v>24.22074780002</v>
      </c>
      <c r="W18">
        <v>24.7038517000037</v>
      </c>
      <c r="X18">
        <v>24.7038517000037</v>
      </c>
      <c r="Y18">
        <v>24.7038517000037</v>
      </c>
      <c r="Z18">
        <v>25.070761300041301</v>
      </c>
      <c r="AA18" t="s">
        <v>50</v>
      </c>
      <c r="AB18">
        <v>1</v>
      </c>
      <c r="AC18">
        <v>0.35396610002499002</v>
      </c>
      <c r="AD18" t="s">
        <v>51</v>
      </c>
      <c r="AI18" t="s">
        <v>42</v>
      </c>
      <c r="AJ18">
        <v>1</v>
      </c>
      <c r="AK18" t="s">
        <v>43</v>
      </c>
      <c r="AL18" t="s">
        <v>44</v>
      </c>
      <c r="AN18" t="s">
        <v>45</v>
      </c>
      <c r="AO18">
        <v>59.891859258221302</v>
      </c>
      <c r="AP18" t="s">
        <v>46</v>
      </c>
    </row>
    <row r="19" spans="1:42" x14ac:dyDescent="0.3">
      <c r="A19" t="s">
        <v>47</v>
      </c>
      <c r="B19" t="s">
        <v>52</v>
      </c>
      <c r="C19" t="s">
        <v>53</v>
      </c>
      <c r="D19" t="s">
        <v>54</v>
      </c>
      <c r="E19">
        <v>16</v>
      </c>
      <c r="F19">
        <v>0</v>
      </c>
      <c r="G19">
        <v>4</v>
      </c>
      <c r="H19" t="s">
        <v>54</v>
      </c>
      <c r="I19">
        <v>1</v>
      </c>
      <c r="J19">
        <v>0.79235639999387697</v>
      </c>
      <c r="K19" t="s">
        <v>51</v>
      </c>
      <c r="L19">
        <v>4</v>
      </c>
      <c r="M19">
        <v>0</v>
      </c>
      <c r="N19">
        <v>16</v>
      </c>
      <c r="O19">
        <v>1</v>
      </c>
      <c r="P19">
        <v>25.086939600005199</v>
      </c>
      <c r="U19">
        <v>25.071638200024601</v>
      </c>
      <c r="V19">
        <v>25.086939600005199</v>
      </c>
      <c r="W19">
        <v>25.569919600035</v>
      </c>
      <c r="X19">
        <v>25.569919600035</v>
      </c>
      <c r="Y19">
        <v>25.569919600035</v>
      </c>
      <c r="Z19">
        <v>26.369832099997399</v>
      </c>
      <c r="AA19" t="s">
        <v>54</v>
      </c>
      <c r="AB19">
        <v>1</v>
      </c>
      <c r="AC19">
        <v>0.79235639999387697</v>
      </c>
      <c r="AD19" t="s">
        <v>51</v>
      </c>
      <c r="AI19" t="s">
        <v>42</v>
      </c>
      <c r="AJ19">
        <v>1</v>
      </c>
      <c r="AK19" t="s">
        <v>43</v>
      </c>
      <c r="AL19" t="s">
        <v>44</v>
      </c>
      <c r="AN19" t="s">
        <v>45</v>
      </c>
      <c r="AO19">
        <v>59.891859258221302</v>
      </c>
      <c r="AP19" t="s">
        <v>46</v>
      </c>
    </row>
    <row r="20" spans="1:42" x14ac:dyDescent="0.3">
      <c r="A20" t="s">
        <v>55</v>
      </c>
      <c r="B20" t="s">
        <v>48</v>
      </c>
      <c r="C20" t="s">
        <v>53</v>
      </c>
      <c r="D20" t="s">
        <v>50</v>
      </c>
      <c r="E20">
        <v>17</v>
      </c>
      <c r="F20">
        <v>1</v>
      </c>
      <c r="G20">
        <v>4</v>
      </c>
      <c r="H20" t="s">
        <v>50</v>
      </c>
      <c r="I20">
        <v>1</v>
      </c>
      <c r="J20">
        <v>0.98241280001820996</v>
      </c>
      <c r="K20" t="s">
        <v>51</v>
      </c>
      <c r="L20">
        <v>4</v>
      </c>
      <c r="M20">
        <v>1</v>
      </c>
      <c r="N20">
        <v>17</v>
      </c>
      <c r="O20">
        <v>2</v>
      </c>
      <c r="P20">
        <v>26.386012700037099</v>
      </c>
      <c r="U20">
        <v>26.3743139000143</v>
      </c>
      <c r="V20">
        <v>26.386012700037099</v>
      </c>
      <c r="W20">
        <v>26.869100100011501</v>
      </c>
      <c r="X20">
        <v>26.869100100011501</v>
      </c>
      <c r="Y20">
        <v>26.869100100011501</v>
      </c>
      <c r="Z20">
        <v>27.852810800017298</v>
      </c>
      <c r="AA20" t="s">
        <v>50</v>
      </c>
      <c r="AB20">
        <v>1</v>
      </c>
      <c r="AC20">
        <v>0.98241280001820996</v>
      </c>
      <c r="AD20" t="s">
        <v>51</v>
      </c>
      <c r="AI20" t="s">
        <v>42</v>
      </c>
      <c r="AJ20">
        <v>1</v>
      </c>
      <c r="AK20" t="s">
        <v>43</v>
      </c>
      <c r="AL20" t="s">
        <v>44</v>
      </c>
      <c r="AN20" t="s">
        <v>45</v>
      </c>
      <c r="AO20">
        <v>59.891859258221302</v>
      </c>
      <c r="AP20" t="s">
        <v>46</v>
      </c>
    </row>
    <row r="21" spans="1:42" x14ac:dyDescent="0.3">
      <c r="A21" t="s">
        <v>47</v>
      </c>
      <c r="B21" t="s">
        <v>48</v>
      </c>
      <c r="C21" t="s">
        <v>49</v>
      </c>
      <c r="D21" t="s">
        <v>50</v>
      </c>
      <c r="E21">
        <v>18</v>
      </c>
      <c r="F21">
        <v>2</v>
      </c>
      <c r="G21">
        <v>4</v>
      </c>
      <c r="H21" t="s">
        <v>50</v>
      </c>
      <c r="I21">
        <v>1</v>
      </c>
      <c r="J21">
        <v>0.56459579995134801</v>
      </c>
      <c r="K21" t="s">
        <v>51</v>
      </c>
      <c r="L21">
        <v>4</v>
      </c>
      <c r="M21">
        <v>2</v>
      </c>
      <c r="N21">
        <v>18</v>
      </c>
      <c r="O21">
        <v>0</v>
      </c>
      <c r="P21">
        <v>27.868469600041799</v>
      </c>
      <c r="U21">
        <v>27.857265400001701</v>
      </c>
      <c r="V21">
        <v>27.868469600041799</v>
      </c>
      <c r="W21">
        <v>28.3681343999924</v>
      </c>
      <c r="X21">
        <v>28.3681343999924</v>
      </c>
      <c r="Y21">
        <v>28.3681343999924</v>
      </c>
      <c r="Z21">
        <v>28.935002200014399</v>
      </c>
      <c r="AA21" t="s">
        <v>50</v>
      </c>
      <c r="AB21">
        <v>1</v>
      </c>
      <c r="AC21">
        <v>0.56459579995134801</v>
      </c>
      <c r="AD21" t="s">
        <v>51</v>
      </c>
      <c r="AI21" t="s">
        <v>42</v>
      </c>
      <c r="AJ21">
        <v>1</v>
      </c>
      <c r="AK21" t="s">
        <v>43</v>
      </c>
      <c r="AL21" t="s">
        <v>44</v>
      </c>
      <c r="AN21" t="s">
        <v>45</v>
      </c>
      <c r="AO21">
        <v>59.891859258221302</v>
      </c>
      <c r="AP21" t="s">
        <v>46</v>
      </c>
    </row>
    <row r="22" spans="1:42" x14ac:dyDescent="0.3">
      <c r="A22" t="s">
        <v>55</v>
      </c>
      <c r="B22" t="s">
        <v>52</v>
      </c>
      <c r="C22" t="s">
        <v>49</v>
      </c>
      <c r="D22" t="s">
        <v>54</v>
      </c>
      <c r="E22">
        <v>19</v>
      </c>
      <c r="F22">
        <v>3</v>
      </c>
      <c r="G22">
        <v>4</v>
      </c>
      <c r="H22" t="s">
        <v>54</v>
      </c>
      <c r="I22">
        <v>1</v>
      </c>
      <c r="J22">
        <v>0.76697160000912801</v>
      </c>
      <c r="K22" t="s">
        <v>51</v>
      </c>
      <c r="L22">
        <v>4</v>
      </c>
      <c r="M22">
        <v>3</v>
      </c>
      <c r="N22">
        <v>19</v>
      </c>
      <c r="O22">
        <v>3</v>
      </c>
      <c r="P22">
        <v>28.951147300016601</v>
      </c>
      <c r="U22">
        <v>28.939073300047301</v>
      </c>
      <c r="V22">
        <v>28.951147300016601</v>
      </c>
      <c r="W22">
        <v>29.4341760000097</v>
      </c>
      <c r="X22">
        <v>29.4341760000097</v>
      </c>
      <c r="Y22">
        <v>29.4341760000097</v>
      </c>
      <c r="Z22">
        <v>30.217670999991199</v>
      </c>
      <c r="AA22" t="s">
        <v>54</v>
      </c>
      <c r="AB22">
        <v>1</v>
      </c>
      <c r="AC22">
        <v>0.76697160000912801</v>
      </c>
      <c r="AD22" t="s">
        <v>51</v>
      </c>
      <c r="AI22" t="s">
        <v>42</v>
      </c>
      <c r="AJ22">
        <v>1</v>
      </c>
      <c r="AK22" t="s">
        <v>43</v>
      </c>
      <c r="AL22" t="s">
        <v>44</v>
      </c>
      <c r="AN22" t="s">
        <v>45</v>
      </c>
      <c r="AO22">
        <v>59.891859258221302</v>
      </c>
      <c r="AP22" t="s">
        <v>46</v>
      </c>
    </row>
    <row r="23" spans="1:42" x14ac:dyDescent="0.3">
      <c r="A23" t="s">
        <v>47</v>
      </c>
      <c r="B23" t="s">
        <v>52</v>
      </c>
      <c r="C23" t="s">
        <v>53</v>
      </c>
      <c r="D23" t="s">
        <v>54</v>
      </c>
      <c r="E23">
        <v>20</v>
      </c>
      <c r="F23">
        <v>0</v>
      </c>
      <c r="G23">
        <v>5</v>
      </c>
      <c r="H23" t="s">
        <v>54</v>
      </c>
      <c r="I23">
        <v>1</v>
      </c>
      <c r="J23">
        <v>0.75199409999186095</v>
      </c>
      <c r="K23" t="s">
        <v>51</v>
      </c>
      <c r="L23">
        <v>5</v>
      </c>
      <c r="M23">
        <v>0</v>
      </c>
      <c r="N23">
        <v>20</v>
      </c>
      <c r="O23">
        <v>1</v>
      </c>
      <c r="P23">
        <v>30.233699800039101</v>
      </c>
      <c r="U23">
        <v>30.2220193000393</v>
      </c>
      <c r="V23">
        <v>30.233699800039101</v>
      </c>
      <c r="W23">
        <v>30.733352800016199</v>
      </c>
      <c r="X23">
        <v>30.733352800016199</v>
      </c>
      <c r="Y23">
        <v>30.733352800016199</v>
      </c>
      <c r="Z23">
        <v>31.500135000038402</v>
      </c>
      <c r="AA23" t="s">
        <v>54</v>
      </c>
      <c r="AB23">
        <v>1</v>
      </c>
      <c r="AC23">
        <v>0.75199409999186095</v>
      </c>
      <c r="AD23" t="s">
        <v>51</v>
      </c>
      <c r="AI23" t="s">
        <v>42</v>
      </c>
      <c r="AJ23">
        <v>1</v>
      </c>
      <c r="AK23" t="s">
        <v>43</v>
      </c>
      <c r="AL23" t="s">
        <v>44</v>
      </c>
      <c r="AN23" t="s">
        <v>45</v>
      </c>
      <c r="AO23">
        <v>59.891859258221302</v>
      </c>
      <c r="AP23" t="s">
        <v>46</v>
      </c>
    </row>
    <row r="24" spans="1:42" x14ac:dyDescent="0.3">
      <c r="A24" t="s">
        <v>55</v>
      </c>
      <c r="B24" t="s">
        <v>48</v>
      </c>
      <c r="C24" t="s">
        <v>53</v>
      </c>
      <c r="D24" t="s">
        <v>50</v>
      </c>
      <c r="E24">
        <v>21</v>
      </c>
      <c r="F24">
        <v>1</v>
      </c>
      <c r="G24">
        <v>5</v>
      </c>
      <c r="H24" t="s">
        <v>50</v>
      </c>
      <c r="I24">
        <v>1</v>
      </c>
      <c r="J24">
        <v>0.70048170001246002</v>
      </c>
      <c r="K24" t="s">
        <v>51</v>
      </c>
      <c r="L24">
        <v>5</v>
      </c>
      <c r="M24">
        <v>1</v>
      </c>
      <c r="N24">
        <v>21</v>
      </c>
      <c r="O24">
        <v>2</v>
      </c>
      <c r="P24">
        <v>31.516055400017599</v>
      </c>
      <c r="U24">
        <v>31.504215000022601</v>
      </c>
      <c r="V24">
        <v>31.516055400017599</v>
      </c>
      <c r="W24">
        <v>31.999214900017201</v>
      </c>
      <c r="X24">
        <v>31.999214900017201</v>
      </c>
      <c r="Y24">
        <v>31.999214900017201</v>
      </c>
      <c r="Z24">
        <v>32.716036300000198</v>
      </c>
      <c r="AA24" t="s">
        <v>50</v>
      </c>
      <c r="AB24">
        <v>1</v>
      </c>
      <c r="AC24">
        <v>0.70048170001246002</v>
      </c>
      <c r="AD24" t="s">
        <v>51</v>
      </c>
      <c r="AI24" t="s">
        <v>42</v>
      </c>
      <c r="AJ24">
        <v>1</v>
      </c>
      <c r="AK24" t="s">
        <v>43</v>
      </c>
      <c r="AL24" t="s">
        <v>44</v>
      </c>
      <c r="AN24" t="s">
        <v>45</v>
      </c>
      <c r="AO24">
        <v>59.891859258221302</v>
      </c>
      <c r="AP24" t="s">
        <v>46</v>
      </c>
    </row>
    <row r="25" spans="1:42" x14ac:dyDescent="0.3">
      <c r="A25" t="s">
        <v>47</v>
      </c>
      <c r="B25" t="s">
        <v>48</v>
      </c>
      <c r="C25" t="s">
        <v>49</v>
      </c>
      <c r="D25" t="s">
        <v>50</v>
      </c>
      <c r="E25">
        <v>22</v>
      </c>
      <c r="F25">
        <v>2</v>
      </c>
      <c r="G25">
        <v>5</v>
      </c>
      <c r="H25" t="s">
        <v>50</v>
      </c>
      <c r="I25">
        <v>1</v>
      </c>
      <c r="J25">
        <v>0.45451750000938701</v>
      </c>
      <c r="K25" t="s">
        <v>51</v>
      </c>
      <c r="L25">
        <v>5</v>
      </c>
      <c r="M25">
        <v>2</v>
      </c>
      <c r="N25">
        <v>22</v>
      </c>
      <c r="O25">
        <v>0</v>
      </c>
      <c r="P25">
        <v>32.732123700028701</v>
      </c>
      <c r="U25">
        <v>32.720600500004302</v>
      </c>
      <c r="V25">
        <v>32.732123700028701</v>
      </c>
      <c r="W25">
        <v>33.231617400015203</v>
      </c>
      <c r="X25">
        <v>33.231617400015203</v>
      </c>
      <c r="Y25">
        <v>33.231617400015203</v>
      </c>
      <c r="Z25">
        <v>33.698806400003299</v>
      </c>
      <c r="AA25" t="s">
        <v>50</v>
      </c>
      <c r="AB25">
        <v>1</v>
      </c>
      <c r="AC25">
        <v>0.45451750000938701</v>
      </c>
      <c r="AD25" t="s">
        <v>51</v>
      </c>
      <c r="AI25" t="s">
        <v>42</v>
      </c>
      <c r="AJ25">
        <v>1</v>
      </c>
      <c r="AK25" t="s">
        <v>43</v>
      </c>
      <c r="AL25" t="s">
        <v>44</v>
      </c>
      <c r="AN25" t="s">
        <v>45</v>
      </c>
      <c r="AO25">
        <v>59.891859258221302</v>
      </c>
      <c r="AP25" t="s">
        <v>46</v>
      </c>
    </row>
    <row r="26" spans="1:42" x14ac:dyDescent="0.3">
      <c r="A26" t="s">
        <v>55</v>
      </c>
      <c r="B26" t="s">
        <v>52</v>
      </c>
      <c r="C26" t="s">
        <v>49</v>
      </c>
      <c r="D26" t="s">
        <v>54</v>
      </c>
      <c r="E26">
        <v>23</v>
      </c>
      <c r="F26">
        <v>3</v>
      </c>
      <c r="G26">
        <v>5</v>
      </c>
      <c r="H26" t="s">
        <v>54</v>
      </c>
      <c r="I26">
        <v>1</v>
      </c>
      <c r="J26">
        <v>0.75627309997798797</v>
      </c>
      <c r="K26" t="s">
        <v>51</v>
      </c>
      <c r="L26">
        <v>5</v>
      </c>
      <c r="M26">
        <v>3</v>
      </c>
      <c r="N26">
        <v>23</v>
      </c>
      <c r="O26">
        <v>3</v>
      </c>
      <c r="P26">
        <v>33.714734500041203</v>
      </c>
      <c r="U26">
        <v>33.703066100017097</v>
      </c>
      <c r="V26">
        <v>33.714734500041203</v>
      </c>
      <c r="W26">
        <v>34.214388900029</v>
      </c>
      <c r="X26">
        <v>34.214388900029</v>
      </c>
      <c r="Y26">
        <v>34.214388900029</v>
      </c>
      <c r="Z26">
        <v>34.981297600024803</v>
      </c>
      <c r="AA26" t="s">
        <v>54</v>
      </c>
      <c r="AB26">
        <v>1</v>
      </c>
      <c r="AC26">
        <v>0.75627309997798797</v>
      </c>
      <c r="AD26" t="s">
        <v>51</v>
      </c>
      <c r="AI26" t="s">
        <v>42</v>
      </c>
      <c r="AJ26">
        <v>1</v>
      </c>
      <c r="AK26" t="s">
        <v>43</v>
      </c>
      <c r="AL26" t="s">
        <v>44</v>
      </c>
      <c r="AN26" t="s">
        <v>45</v>
      </c>
      <c r="AO26">
        <v>59.891859258221302</v>
      </c>
      <c r="AP26" t="s">
        <v>46</v>
      </c>
    </row>
    <row r="27" spans="1:42" x14ac:dyDescent="0.3">
      <c r="A27" t="s">
        <v>47</v>
      </c>
      <c r="B27" t="s">
        <v>52</v>
      </c>
      <c r="C27" t="s">
        <v>53</v>
      </c>
      <c r="D27" t="s">
        <v>54</v>
      </c>
      <c r="E27">
        <v>24</v>
      </c>
      <c r="F27">
        <v>0</v>
      </c>
      <c r="G27">
        <v>6</v>
      </c>
      <c r="H27" t="s">
        <v>54</v>
      </c>
      <c r="I27">
        <v>1</v>
      </c>
      <c r="J27">
        <v>1.3154383999644701</v>
      </c>
      <c r="K27" t="s">
        <v>51</v>
      </c>
      <c r="L27">
        <v>6</v>
      </c>
      <c r="M27">
        <v>0</v>
      </c>
      <c r="N27">
        <v>24</v>
      </c>
      <c r="O27">
        <v>1</v>
      </c>
      <c r="P27">
        <v>34.997334700019501</v>
      </c>
      <c r="U27">
        <v>34.985889700008499</v>
      </c>
      <c r="V27">
        <v>34.997334700019501</v>
      </c>
      <c r="W27">
        <v>35.496999900031298</v>
      </c>
      <c r="X27">
        <v>35.496999900031298</v>
      </c>
      <c r="Y27">
        <v>35.496999900031298</v>
      </c>
      <c r="Z27">
        <v>36.813656100013702</v>
      </c>
      <c r="AA27" t="s">
        <v>54</v>
      </c>
      <c r="AB27">
        <v>1</v>
      </c>
      <c r="AC27">
        <v>1.3154383999644701</v>
      </c>
      <c r="AD27" t="s">
        <v>51</v>
      </c>
      <c r="AI27" t="s">
        <v>42</v>
      </c>
      <c r="AJ27">
        <v>1</v>
      </c>
      <c r="AK27" t="s">
        <v>43</v>
      </c>
      <c r="AL27" t="s">
        <v>44</v>
      </c>
      <c r="AN27" t="s">
        <v>45</v>
      </c>
      <c r="AO27">
        <v>59.891859258221302</v>
      </c>
      <c r="AP27" t="s">
        <v>46</v>
      </c>
    </row>
    <row r="28" spans="1:42" x14ac:dyDescent="0.3">
      <c r="A28" t="s">
        <v>55</v>
      </c>
      <c r="B28" t="s">
        <v>52</v>
      </c>
      <c r="C28" t="s">
        <v>49</v>
      </c>
      <c r="D28" t="s">
        <v>54</v>
      </c>
      <c r="E28">
        <v>25</v>
      </c>
      <c r="F28">
        <v>1</v>
      </c>
      <c r="G28">
        <v>6</v>
      </c>
      <c r="H28" t="s">
        <v>54</v>
      </c>
      <c r="I28">
        <v>1</v>
      </c>
      <c r="J28">
        <v>0.66077660000882998</v>
      </c>
      <c r="K28" t="s">
        <v>51</v>
      </c>
      <c r="L28">
        <v>6</v>
      </c>
      <c r="M28">
        <v>1</v>
      </c>
      <c r="N28">
        <v>25</v>
      </c>
      <c r="O28">
        <v>3</v>
      </c>
      <c r="P28">
        <v>36.829518400016198</v>
      </c>
      <c r="U28">
        <v>36.8181341000017</v>
      </c>
      <c r="V28">
        <v>36.829518400016198</v>
      </c>
      <c r="W28">
        <v>37.329181800014297</v>
      </c>
      <c r="X28">
        <v>37.329181800014297</v>
      </c>
      <c r="Y28">
        <v>37.329181800014297</v>
      </c>
      <c r="Z28">
        <v>37.996013100026097</v>
      </c>
      <c r="AA28" t="s">
        <v>54</v>
      </c>
      <c r="AB28">
        <v>1</v>
      </c>
      <c r="AC28">
        <v>0.66077660000882998</v>
      </c>
      <c r="AD28" t="s">
        <v>51</v>
      </c>
      <c r="AI28" t="s">
        <v>42</v>
      </c>
      <c r="AJ28">
        <v>1</v>
      </c>
      <c r="AK28" t="s">
        <v>43</v>
      </c>
      <c r="AL28" t="s">
        <v>44</v>
      </c>
      <c r="AN28" t="s">
        <v>45</v>
      </c>
      <c r="AO28">
        <v>59.891859258221302</v>
      </c>
      <c r="AP28" t="s">
        <v>46</v>
      </c>
    </row>
    <row r="29" spans="1:42" x14ac:dyDescent="0.3">
      <c r="A29" t="s">
        <v>55</v>
      </c>
      <c r="B29" t="s">
        <v>48</v>
      </c>
      <c r="C29" t="s">
        <v>53</v>
      </c>
      <c r="D29" t="s">
        <v>50</v>
      </c>
      <c r="E29">
        <v>26</v>
      </c>
      <c r="F29">
        <v>2</v>
      </c>
      <c r="G29">
        <v>6</v>
      </c>
      <c r="H29" t="s">
        <v>50</v>
      </c>
      <c r="I29">
        <v>1</v>
      </c>
      <c r="J29">
        <v>0.69450860004871995</v>
      </c>
      <c r="K29" t="s">
        <v>51</v>
      </c>
      <c r="L29">
        <v>6</v>
      </c>
      <c r="M29">
        <v>2</v>
      </c>
      <c r="N29">
        <v>26</v>
      </c>
      <c r="O29">
        <v>2</v>
      </c>
      <c r="P29">
        <v>38.012007500045002</v>
      </c>
      <c r="U29">
        <v>37.9969108999939</v>
      </c>
      <c r="V29">
        <v>38.012007500045002</v>
      </c>
      <c r="W29">
        <v>38.495097800041499</v>
      </c>
      <c r="X29">
        <v>38.495097800041499</v>
      </c>
      <c r="Y29">
        <v>38.495097800041499</v>
      </c>
      <c r="Z29">
        <v>39.195170100021599</v>
      </c>
      <c r="AA29" t="s">
        <v>50</v>
      </c>
      <c r="AB29">
        <v>1</v>
      </c>
      <c r="AC29">
        <v>0.69450860004871995</v>
      </c>
      <c r="AD29" t="s">
        <v>51</v>
      </c>
      <c r="AI29" t="s">
        <v>42</v>
      </c>
      <c r="AJ29">
        <v>1</v>
      </c>
      <c r="AK29" t="s">
        <v>43</v>
      </c>
      <c r="AL29" t="s">
        <v>44</v>
      </c>
      <c r="AN29" t="s">
        <v>45</v>
      </c>
      <c r="AO29">
        <v>59.891859258221302</v>
      </c>
      <c r="AP29" t="s">
        <v>46</v>
      </c>
    </row>
    <row r="30" spans="1:42" x14ac:dyDescent="0.3">
      <c r="A30" t="s">
        <v>47</v>
      </c>
      <c r="B30" t="s">
        <v>48</v>
      </c>
      <c r="C30" t="s">
        <v>49</v>
      </c>
      <c r="D30" t="s">
        <v>50</v>
      </c>
      <c r="E30">
        <v>27</v>
      </c>
      <c r="F30">
        <v>3</v>
      </c>
      <c r="G30">
        <v>6</v>
      </c>
      <c r="H30" t="s">
        <v>50</v>
      </c>
      <c r="I30">
        <v>1</v>
      </c>
      <c r="J30">
        <v>0.360154499998316</v>
      </c>
      <c r="K30" t="s">
        <v>51</v>
      </c>
      <c r="L30">
        <v>6</v>
      </c>
      <c r="M30">
        <v>3</v>
      </c>
      <c r="N30">
        <v>27</v>
      </c>
      <c r="O30">
        <v>0</v>
      </c>
      <c r="P30">
        <v>39.211216900031999</v>
      </c>
      <c r="U30">
        <v>39.199122500023797</v>
      </c>
      <c r="V30">
        <v>39.211216900031999</v>
      </c>
      <c r="W30">
        <v>39.694277100032103</v>
      </c>
      <c r="X30">
        <v>39.694277100032103</v>
      </c>
      <c r="Y30">
        <v>39.694277100032103</v>
      </c>
      <c r="Z30">
        <v>40.0612479000119</v>
      </c>
      <c r="AA30" t="s">
        <v>50</v>
      </c>
      <c r="AB30">
        <v>1</v>
      </c>
      <c r="AC30">
        <v>0.360154499998316</v>
      </c>
      <c r="AD30" t="s">
        <v>51</v>
      </c>
      <c r="AI30" t="s">
        <v>42</v>
      </c>
      <c r="AJ30">
        <v>1</v>
      </c>
      <c r="AK30" t="s">
        <v>43</v>
      </c>
      <c r="AL30" t="s">
        <v>44</v>
      </c>
      <c r="AN30" t="s">
        <v>45</v>
      </c>
      <c r="AO30">
        <v>59.891859258221302</v>
      </c>
      <c r="AP30" t="s">
        <v>46</v>
      </c>
    </row>
    <row r="31" spans="1:42" x14ac:dyDescent="0.3">
      <c r="A31" t="s">
        <v>47</v>
      </c>
      <c r="B31" t="s">
        <v>48</v>
      </c>
      <c r="C31" t="s">
        <v>49</v>
      </c>
      <c r="D31" t="s">
        <v>50</v>
      </c>
      <c r="E31">
        <v>28</v>
      </c>
      <c r="F31">
        <v>0</v>
      </c>
      <c r="G31">
        <v>7</v>
      </c>
      <c r="H31" t="s">
        <v>50</v>
      </c>
      <c r="I31">
        <v>1</v>
      </c>
      <c r="J31">
        <v>0.32751069997902899</v>
      </c>
      <c r="K31" t="s">
        <v>51</v>
      </c>
      <c r="L31">
        <v>7</v>
      </c>
      <c r="M31">
        <v>0</v>
      </c>
      <c r="N31">
        <v>28</v>
      </c>
      <c r="O31">
        <v>0</v>
      </c>
      <c r="P31">
        <v>40.077471500029702</v>
      </c>
      <c r="U31">
        <v>40.062237700039901</v>
      </c>
      <c r="V31">
        <v>40.077471500029702</v>
      </c>
      <c r="W31">
        <v>40.560400400019702</v>
      </c>
      <c r="X31">
        <v>40.560400400019702</v>
      </c>
      <c r="Y31">
        <v>40.560400400019702</v>
      </c>
      <c r="Z31">
        <v>40.894272300007202</v>
      </c>
      <c r="AA31" t="s">
        <v>50</v>
      </c>
      <c r="AB31">
        <v>1</v>
      </c>
      <c r="AC31">
        <v>0.32751069997902899</v>
      </c>
      <c r="AD31" t="s">
        <v>51</v>
      </c>
      <c r="AI31" t="s">
        <v>42</v>
      </c>
      <c r="AJ31">
        <v>1</v>
      </c>
      <c r="AK31" t="s">
        <v>43</v>
      </c>
      <c r="AL31" t="s">
        <v>44</v>
      </c>
      <c r="AN31" t="s">
        <v>45</v>
      </c>
      <c r="AO31">
        <v>59.891859258221302</v>
      </c>
      <c r="AP31" t="s">
        <v>46</v>
      </c>
    </row>
    <row r="32" spans="1:42" x14ac:dyDescent="0.3">
      <c r="A32" t="s">
        <v>55</v>
      </c>
      <c r="B32" t="s">
        <v>48</v>
      </c>
      <c r="C32" t="s">
        <v>53</v>
      </c>
      <c r="D32" t="s">
        <v>50</v>
      </c>
      <c r="E32">
        <v>29</v>
      </c>
      <c r="F32">
        <v>1</v>
      </c>
      <c r="G32">
        <v>7</v>
      </c>
      <c r="H32" t="s">
        <v>50</v>
      </c>
      <c r="I32">
        <v>1</v>
      </c>
      <c r="J32">
        <v>0.439948000013828</v>
      </c>
      <c r="K32" t="s">
        <v>51</v>
      </c>
      <c r="L32">
        <v>7</v>
      </c>
      <c r="M32">
        <v>1</v>
      </c>
      <c r="N32">
        <v>29</v>
      </c>
      <c r="O32">
        <v>2</v>
      </c>
      <c r="P32">
        <v>40.910195900010798</v>
      </c>
      <c r="U32">
        <v>40.898750699998303</v>
      </c>
      <c r="V32">
        <v>40.910195900010798</v>
      </c>
      <c r="W32">
        <v>41.409844300011102</v>
      </c>
      <c r="X32">
        <v>41.409844300011102</v>
      </c>
      <c r="Y32">
        <v>41.409844300011102</v>
      </c>
      <c r="Z32">
        <v>41.860232700011601</v>
      </c>
      <c r="AA32" t="s">
        <v>50</v>
      </c>
      <c r="AB32">
        <v>1</v>
      </c>
      <c r="AC32">
        <v>0.439948000013828</v>
      </c>
      <c r="AD32" t="s">
        <v>51</v>
      </c>
      <c r="AI32" t="s">
        <v>42</v>
      </c>
      <c r="AJ32">
        <v>1</v>
      </c>
      <c r="AK32" t="s">
        <v>43</v>
      </c>
      <c r="AL32" t="s">
        <v>44</v>
      </c>
      <c r="AN32" t="s">
        <v>45</v>
      </c>
      <c r="AO32">
        <v>59.891859258221302</v>
      </c>
      <c r="AP32" t="s">
        <v>46</v>
      </c>
    </row>
    <row r="33" spans="1:42" x14ac:dyDescent="0.3">
      <c r="A33" t="s">
        <v>55</v>
      </c>
      <c r="B33" t="s">
        <v>52</v>
      </c>
      <c r="C33" t="s">
        <v>49</v>
      </c>
      <c r="D33" t="s">
        <v>54</v>
      </c>
      <c r="E33">
        <v>30</v>
      </c>
      <c r="F33">
        <v>2</v>
      </c>
      <c r="G33">
        <v>7</v>
      </c>
      <c r="H33" t="s">
        <v>54</v>
      </c>
      <c r="I33">
        <v>1</v>
      </c>
      <c r="J33">
        <v>0.66735359997255705</v>
      </c>
      <c r="K33" t="s">
        <v>51</v>
      </c>
      <c r="L33">
        <v>7</v>
      </c>
      <c r="M33">
        <v>2</v>
      </c>
      <c r="N33">
        <v>30</v>
      </c>
      <c r="O33">
        <v>3</v>
      </c>
      <c r="P33">
        <v>41.876123199996002</v>
      </c>
      <c r="U33">
        <v>41.8610761000309</v>
      </c>
      <c r="V33">
        <v>41.876123199996002</v>
      </c>
      <c r="W33">
        <v>42.359293700021198</v>
      </c>
      <c r="X33">
        <v>42.359293700021198</v>
      </c>
      <c r="Y33">
        <v>42.359293700021198</v>
      </c>
      <c r="Z33">
        <v>43.042796200024803</v>
      </c>
      <c r="AA33" t="s">
        <v>54</v>
      </c>
      <c r="AB33">
        <v>1</v>
      </c>
      <c r="AC33">
        <v>0.66735359997255705</v>
      </c>
      <c r="AD33" t="s">
        <v>51</v>
      </c>
      <c r="AI33" t="s">
        <v>42</v>
      </c>
      <c r="AJ33">
        <v>1</v>
      </c>
      <c r="AK33" t="s">
        <v>43</v>
      </c>
      <c r="AL33" t="s">
        <v>44</v>
      </c>
      <c r="AN33" t="s">
        <v>45</v>
      </c>
      <c r="AO33">
        <v>59.891859258221302</v>
      </c>
      <c r="AP33" t="s">
        <v>46</v>
      </c>
    </row>
    <row r="34" spans="1:42" x14ac:dyDescent="0.3">
      <c r="A34" t="s">
        <v>47</v>
      </c>
      <c r="B34" t="s">
        <v>52</v>
      </c>
      <c r="C34" t="s">
        <v>53</v>
      </c>
      <c r="D34" t="s">
        <v>54</v>
      </c>
      <c r="E34">
        <v>31</v>
      </c>
      <c r="F34">
        <v>3</v>
      </c>
      <c r="G34">
        <v>7</v>
      </c>
      <c r="H34" t="s">
        <v>54</v>
      </c>
      <c r="I34">
        <v>1</v>
      </c>
      <c r="J34">
        <v>0.46639630000572602</v>
      </c>
      <c r="K34" t="s">
        <v>51</v>
      </c>
      <c r="L34">
        <v>7</v>
      </c>
      <c r="M34">
        <v>3</v>
      </c>
      <c r="N34">
        <v>31</v>
      </c>
      <c r="O34">
        <v>1</v>
      </c>
      <c r="P34">
        <v>43.058815399999702</v>
      </c>
      <c r="U34">
        <v>43.047170500038099</v>
      </c>
      <c r="V34">
        <v>43.058815399999702</v>
      </c>
      <c r="W34">
        <v>43.558436400024199</v>
      </c>
      <c r="X34">
        <v>43.558436400024199</v>
      </c>
      <c r="Y34">
        <v>43.558436400024199</v>
      </c>
      <c r="Z34">
        <v>44.0254192000138</v>
      </c>
      <c r="AA34" t="s">
        <v>54</v>
      </c>
      <c r="AB34">
        <v>1</v>
      </c>
      <c r="AC34">
        <v>0.46639630000572602</v>
      </c>
      <c r="AD34" t="s">
        <v>51</v>
      </c>
      <c r="AI34" t="s">
        <v>42</v>
      </c>
      <c r="AJ34">
        <v>1</v>
      </c>
      <c r="AK34" t="s">
        <v>43</v>
      </c>
      <c r="AL34" t="s">
        <v>44</v>
      </c>
      <c r="AN34" t="s">
        <v>45</v>
      </c>
      <c r="AO34">
        <v>59.891859258221302</v>
      </c>
      <c r="AP34" t="s">
        <v>46</v>
      </c>
    </row>
    <row r="35" spans="1:42" x14ac:dyDescent="0.3">
      <c r="A35" t="s">
        <v>47</v>
      </c>
      <c r="B35" t="s">
        <v>48</v>
      </c>
      <c r="C35" t="s">
        <v>49</v>
      </c>
      <c r="D35" t="s">
        <v>50</v>
      </c>
      <c r="E35">
        <v>32</v>
      </c>
      <c r="F35">
        <v>0</v>
      </c>
      <c r="G35">
        <v>8</v>
      </c>
      <c r="H35" t="s">
        <v>50</v>
      </c>
      <c r="I35">
        <v>1</v>
      </c>
      <c r="J35">
        <v>0.677200400037691</v>
      </c>
      <c r="K35" t="s">
        <v>51</v>
      </c>
      <c r="L35">
        <v>8</v>
      </c>
      <c r="M35">
        <v>0</v>
      </c>
      <c r="N35">
        <v>32</v>
      </c>
      <c r="O35">
        <v>0</v>
      </c>
      <c r="P35">
        <v>44.041509700007701</v>
      </c>
      <c r="U35">
        <v>44.026372899999799</v>
      </c>
      <c r="V35">
        <v>44.041509700007701</v>
      </c>
      <c r="W35">
        <v>44.524475200043497</v>
      </c>
      <c r="X35">
        <v>44.524475200043497</v>
      </c>
      <c r="Y35">
        <v>44.524475200043497</v>
      </c>
      <c r="Z35">
        <v>45.208094900008199</v>
      </c>
      <c r="AA35" t="s">
        <v>50</v>
      </c>
      <c r="AB35">
        <v>1</v>
      </c>
      <c r="AC35">
        <v>0.677200400037691</v>
      </c>
      <c r="AD35" t="s">
        <v>51</v>
      </c>
      <c r="AI35" t="s">
        <v>42</v>
      </c>
      <c r="AJ35">
        <v>1</v>
      </c>
      <c r="AK35" t="s">
        <v>43</v>
      </c>
      <c r="AL35" t="s">
        <v>44</v>
      </c>
      <c r="AN35" t="s">
        <v>45</v>
      </c>
      <c r="AO35">
        <v>59.891859258221302</v>
      </c>
      <c r="AP35" t="s">
        <v>46</v>
      </c>
    </row>
    <row r="36" spans="1:42" x14ac:dyDescent="0.3">
      <c r="A36" t="s">
        <v>55</v>
      </c>
      <c r="B36" t="s">
        <v>48</v>
      </c>
      <c r="C36" t="s">
        <v>53</v>
      </c>
      <c r="D36" t="s">
        <v>50</v>
      </c>
      <c r="E36">
        <v>33</v>
      </c>
      <c r="F36">
        <v>1</v>
      </c>
      <c r="G36">
        <v>8</v>
      </c>
      <c r="H36" t="s">
        <v>50</v>
      </c>
      <c r="I36">
        <v>1</v>
      </c>
      <c r="J36">
        <v>0.51117289997637205</v>
      </c>
      <c r="K36" t="s">
        <v>51</v>
      </c>
      <c r="L36">
        <v>8</v>
      </c>
      <c r="M36">
        <v>1</v>
      </c>
      <c r="N36">
        <v>33</v>
      </c>
      <c r="O36">
        <v>2</v>
      </c>
      <c r="P36">
        <v>45.223974300024501</v>
      </c>
      <c r="U36">
        <v>45.2121424000361</v>
      </c>
      <c r="V36">
        <v>45.223974300024501</v>
      </c>
      <c r="W36">
        <v>45.707147600012803</v>
      </c>
      <c r="X36">
        <v>45.707147600012803</v>
      </c>
      <c r="Y36">
        <v>45.707147600012803</v>
      </c>
      <c r="Z36">
        <v>46.224159400037003</v>
      </c>
      <c r="AA36" t="s">
        <v>50</v>
      </c>
      <c r="AB36">
        <v>1</v>
      </c>
      <c r="AC36">
        <v>0.51117289997637205</v>
      </c>
      <c r="AD36" t="s">
        <v>51</v>
      </c>
      <c r="AI36" t="s">
        <v>42</v>
      </c>
      <c r="AJ36">
        <v>1</v>
      </c>
      <c r="AK36" t="s">
        <v>43</v>
      </c>
      <c r="AL36" t="s">
        <v>44</v>
      </c>
      <c r="AN36" t="s">
        <v>45</v>
      </c>
      <c r="AO36">
        <v>59.891859258221302</v>
      </c>
      <c r="AP36" t="s">
        <v>46</v>
      </c>
    </row>
    <row r="37" spans="1:42" x14ac:dyDescent="0.3">
      <c r="A37" t="s">
        <v>55</v>
      </c>
      <c r="B37" t="s">
        <v>52</v>
      </c>
      <c r="C37" t="s">
        <v>49</v>
      </c>
      <c r="D37" t="s">
        <v>54</v>
      </c>
      <c r="E37">
        <v>34</v>
      </c>
      <c r="F37">
        <v>2</v>
      </c>
      <c r="G37">
        <v>8</v>
      </c>
      <c r="H37" t="s">
        <v>54</v>
      </c>
      <c r="I37">
        <v>1</v>
      </c>
      <c r="J37">
        <v>0.74959580000722703</v>
      </c>
      <c r="K37" t="s">
        <v>51</v>
      </c>
      <c r="L37">
        <v>8</v>
      </c>
      <c r="M37">
        <v>2</v>
      </c>
      <c r="N37">
        <v>34</v>
      </c>
      <c r="O37">
        <v>3</v>
      </c>
      <c r="P37">
        <v>46.240204700035903</v>
      </c>
      <c r="U37">
        <v>46.2250594000215</v>
      </c>
      <c r="V37">
        <v>46.240204700035903</v>
      </c>
      <c r="W37">
        <v>46.739872600010102</v>
      </c>
      <c r="X37">
        <v>46.739872600010102</v>
      </c>
      <c r="Y37">
        <v>46.739872600010102</v>
      </c>
      <c r="Z37">
        <v>47.490237999998499</v>
      </c>
      <c r="AA37" t="s">
        <v>54</v>
      </c>
      <c r="AB37">
        <v>1</v>
      </c>
      <c r="AC37">
        <v>0.74959580000722703</v>
      </c>
      <c r="AD37" t="s">
        <v>51</v>
      </c>
      <c r="AI37" t="s">
        <v>42</v>
      </c>
      <c r="AJ37">
        <v>1</v>
      </c>
      <c r="AK37" t="s">
        <v>43</v>
      </c>
      <c r="AL37" t="s">
        <v>44</v>
      </c>
      <c r="AN37" t="s">
        <v>45</v>
      </c>
      <c r="AO37">
        <v>59.891859258221302</v>
      </c>
      <c r="AP37" t="s">
        <v>46</v>
      </c>
    </row>
    <row r="38" spans="1:42" x14ac:dyDescent="0.3">
      <c r="A38" t="s">
        <v>47</v>
      </c>
      <c r="B38" t="s">
        <v>52</v>
      </c>
      <c r="C38" t="s">
        <v>53</v>
      </c>
      <c r="D38" t="s">
        <v>54</v>
      </c>
      <c r="E38">
        <v>35</v>
      </c>
      <c r="F38">
        <v>3</v>
      </c>
      <c r="G38">
        <v>8</v>
      </c>
      <c r="H38" t="s">
        <v>54</v>
      </c>
      <c r="I38">
        <v>1</v>
      </c>
      <c r="J38">
        <v>0.59450440004002303</v>
      </c>
      <c r="K38" t="s">
        <v>51</v>
      </c>
      <c r="L38">
        <v>8</v>
      </c>
      <c r="M38">
        <v>3</v>
      </c>
      <c r="N38">
        <v>35</v>
      </c>
      <c r="O38">
        <v>1</v>
      </c>
      <c r="P38">
        <v>47.5059808000223</v>
      </c>
      <c r="U38">
        <v>47.494594099989598</v>
      </c>
      <c r="V38">
        <v>47.5059808000223</v>
      </c>
      <c r="W38">
        <v>48.005528600013299</v>
      </c>
      <c r="X38">
        <v>48.005528600013299</v>
      </c>
      <c r="Y38">
        <v>48.005528600013299</v>
      </c>
      <c r="Z38">
        <v>48.605900900030903</v>
      </c>
      <c r="AA38" t="s">
        <v>54</v>
      </c>
      <c r="AB38">
        <v>1</v>
      </c>
      <c r="AC38">
        <v>0.59450440004002303</v>
      </c>
      <c r="AD38" t="s">
        <v>51</v>
      </c>
      <c r="AI38" t="s">
        <v>42</v>
      </c>
      <c r="AJ38">
        <v>1</v>
      </c>
      <c r="AK38" t="s">
        <v>43</v>
      </c>
      <c r="AL38" t="s">
        <v>44</v>
      </c>
      <c r="AN38" t="s">
        <v>45</v>
      </c>
      <c r="AO38">
        <v>59.891859258221302</v>
      </c>
      <c r="AP38" t="s">
        <v>46</v>
      </c>
    </row>
    <row r="39" spans="1:42" x14ac:dyDescent="0.3">
      <c r="A39" t="s">
        <v>55</v>
      </c>
      <c r="B39" t="s">
        <v>48</v>
      </c>
      <c r="C39" t="s">
        <v>53</v>
      </c>
      <c r="D39" t="s">
        <v>50</v>
      </c>
      <c r="E39">
        <v>36</v>
      </c>
      <c r="F39">
        <v>0</v>
      </c>
      <c r="G39">
        <v>9</v>
      </c>
      <c r="H39" t="s">
        <v>50</v>
      </c>
      <c r="I39">
        <v>1</v>
      </c>
      <c r="J39">
        <v>0.76175210002111204</v>
      </c>
      <c r="K39" t="s">
        <v>51</v>
      </c>
      <c r="L39">
        <v>9</v>
      </c>
      <c r="M39">
        <v>0</v>
      </c>
      <c r="N39">
        <v>36</v>
      </c>
      <c r="O39">
        <v>2</v>
      </c>
      <c r="P39">
        <v>48.6220159000367</v>
      </c>
      <c r="U39">
        <v>48.610115399991599</v>
      </c>
      <c r="V39">
        <v>48.6220159000367</v>
      </c>
      <c r="W39">
        <v>49.104979099996797</v>
      </c>
      <c r="X39">
        <v>49.104979099996797</v>
      </c>
      <c r="Y39">
        <v>49.104979099996797</v>
      </c>
      <c r="Z39">
        <v>49.871847900038098</v>
      </c>
      <c r="AA39" t="s">
        <v>50</v>
      </c>
      <c r="AB39">
        <v>1</v>
      </c>
      <c r="AC39">
        <v>0.76175210002111204</v>
      </c>
      <c r="AD39" t="s">
        <v>51</v>
      </c>
      <c r="AI39" t="s">
        <v>42</v>
      </c>
      <c r="AJ39">
        <v>1</v>
      </c>
      <c r="AK39" t="s">
        <v>43</v>
      </c>
      <c r="AL39" t="s">
        <v>44</v>
      </c>
      <c r="AN39" t="s">
        <v>45</v>
      </c>
      <c r="AO39">
        <v>59.891859258221302</v>
      </c>
      <c r="AP39" t="s">
        <v>46</v>
      </c>
    </row>
    <row r="40" spans="1:42" x14ac:dyDescent="0.3">
      <c r="A40" t="s">
        <v>47</v>
      </c>
      <c r="B40" t="s">
        <v>52</v>
      </c>
      <c r="C40" t="s">
        <v>53</v>
      </c>
      <c r="D40" t="s">
        <v>54</v>
      </c>
      <c r="E40">
        <v>37</v>
      </c>
      <c r="F40">
        <v>1</v>
      </c>
      <c r="G40">
        <v>9</v>
      </c>
      <c r="H40" t="s">
        <v>54</v>
      </c>
      <c r="I40">
        <v>1</v>
      </c>
      <c r="J40">
        <v>0.82839669997338194</v>
      </c>
      <c r="K40" t="s">
        <v>51</v>
      </c>
      <c r="L40">
        <v>9</v>
      </c>
      <c r="M40">
        <v>1</v>
      </c>
      <c r="N40">
        <v>37</v>
      </c>
      <c r="O40">
        <v>1</v>
      </c>
      <c r="P40">
        <v>49.8878753000171</v>
      </c>
      <c r="U40">
        <v>49.875855299993397</v>
      </c>
      <c r="V40">
        <v>49.8878753000171</v>
      </c>
      <c r="W40">
        <v>50.387566199991802</v>
      </c>
      <c r="X40">
        <v>50.387566199991802</v>
      </c>
      <c r="Y40">
        <v>50.387566199991802</v>
      </c>
      <c r="Z40">
        <v>51.220969200017798</v>
      </c>
      <c r="AA40" t="s">
        <v>54</v>
      </c>
      <c r="AB40">
        <v>1</v>
      </c>
      <c r="AC40">
        <v>0.82839669997338194</v>
      </c>
      <c r="AD40" t="s">
        <v>51</v>
      </c>
      <c r="AI40" t="s">
        <v>42</v>
      </c>
      <c r="AJ40">
        <v>1</v>
      </c>
      <c r="AK40" t="s">
        <v>43</v>
      </c>
      <c r="AL40" t="s">
        <v>44</v>
      </c>
      <c r="AN40" t="s">
        <v>45</v>
      </c>
      <c r="AO40">
        <v>59.891859258221302</v>
      </c>
      <c r="AP40" t="s">
        <v>46</v>
      </c>
    </row>
    <row r="41" spans="1:42" x14ac:dyDescent="0.3">
      <c r="A41" t="s">
        <v>47</v>
      </c>
      <c r="B41" t="s">
        <v>48</v>
      </c>
      <c r="C41" t="s">
        <v>49</v>
      </c>
      <c r="D41" t="s">
        <v>50</v>
      </c>
      <c r="E41">
        <v>38</v>
      </c>
      <c r="F41">
        <v>2</v>
      </c>
      <c r="G41">
        <v>9</v>
      </c>
      <c r="H41" t="s">
        <v>50</v>
      </c>
      <c r="I41">
        <v>1</v>
      </c>
      <c r="J41">
        <v>0.73697109997738097</v>
      </c>
      <c r="K41" t="s">
        <v>51</v>
      </c>
      <c r="L41">
        <v>9</v>
      </c>
      <c r="M41">
        <v>2</v>
      </c>
      <c r="N41">
        <v>38</v>
      </c>
      <c r="O41">
        <v>0</v>
      </c>
      <c r="P41">
        <v>51.237013800011397</v>
      </c>
      <c r="U41">
        <v>51.221833800023802</v>
      </c>
      <c r="V41">
        <v>51.237013800011397</v>
      </c>
      <c r="W41">
        <v>51.7367357999901</v>
      </c>
      <c r="X41">
        <v>51.7367357999901</v>
      </c>
      <c r="Y41">
        <v>51.7367357999901</v>
      </c>
      <c r="Z41">
        <v>52.486735100042999</v>
      </c>
      <c r="AA41" t="s">
        <v>50</v>
      </c>
      <c r="AB41">
        <v>1</v>
      </c>
      <c r="AC41">
        <v>0.73697109997738097</v>
      </c>
      <c r="AD41" t="s">
        <v>51</v>
      </c>
      <c r="AI41" t="s">
        <v>42</v>
      </c>
      <c r="AJ41">
        <v>1</v>
      </c>
      <c r="AK41" t="s">
        <v>43</v>
      </c>
      <c r="AL41" t="s">
        <v>44</v>
      </c>
      <c r="AN41" t="s">
        <v>45</v>
      </c>
      <c r="AO41">
        <v>59.891859258221302</v>
      </c>
      <c r="AP41" t="s">
        <v>46</v>
      </c>
    </row>
    <row r="42" spans="1:42" x14ac:dyDescent="0.3">
      <c r="A42" t="s">
        <v>55</v>
      </c>
      <c r="B42" t="s">
        <v>52</v>
      </c>
      <c r="C42" t="s">
        <v>49</v>
      </c>
      <c r="D42" t="s">
        <v>54</v>
      </c>
      <c r="E42">
        <v>39</v>
      </c>
      <c r="F42">
        <v>3</v>
      </c>
      <c r="G42">
        <v>9</v>
      </c>
      <c r="H42" t="s">
        <v>54</v>
      </c>
      <c r="I42">
        <v>1</v>
      </c>
      <c r="J42">
        <v>0.76883159996941597</v>
      </c>
      <c r="K42" t="s">
        <v>51</v>
      </c>
      <c r="L42">
        <v>9</v>
      </c>
      <c r="M42">
        <v>3</v>
      </c>
      <c r="N42">
        <v>39</v>
      </c>
      <c r="O42">
        <v>3</v>
      </c>
      <c r="P42">
        <v>52.502705199993201</v>
      </c>
      <c r="U42">
        <v>52.490913500019801</v>
      </c>
      <c r="V42">
        <v>52.502705199993201</v>
      </c>
      <c r="W42">
        <v>52.985954200034001</v>
      </c>
      <c r="X42">
        <v>52.985954200034001</v>
      </c>
      <c r="Y42">
        <v>52.985954200034001</v>
      </c>
      <c r="Z42">
        <v>53.769506300042799</v>
      </c>
      <c r="AA42" t="s">
        <v>54</v>
      </c>
      <c r="AB42">
        <v>1</v>
      </c>
      <c r="AC42">
        <v>0.76883159996941597</v>
      </c>
      <c r="AD42" t="s">
        <v>51</v>
      </c>
      <c r="AI42" t="s">
        <v>42</v>
      </c>
      <c r="AJ42">
        <v>1</v>
      </c>
      <c r="AK42" t="s">
        <v>43</v>
      </c>
      <c r="AL42" t="s">
        <v>44</v>
      </c>
      <c r="AN42" t="s">
        <v>45</v>
      </c>
      <c r="AO42">
        <v>59.891859258221302</v>
      </c>
      <c r="AP42" t="s">
        <v>46</v>
      </c>
    </row>
    <row r="43" spans="1:42" x14ac:dyDescent="0.3">
      <c r="AE43">
        <v>53.769710400025303</v>
      </c>
      <c r="AF43">
        <v>53.785410100012001</v>
      </c>
      <c r="AG43">
        <v>54.784661800018498</v>
      </c>
      <c r="AH43">
        <v>54.768498999997902</v>
      </c>
      <c r="AI43" t="s">
        <v>42</v>
      </c>
      <c r="AJ43">
        <v>1</v>
      </c>
      <c r="AK43" t="s">
        <v>43</v>
      </c>
      <c r="AL43" t="s">
        <v>44</v>
      </c>
      <c r="AN43" t="s">
        <v>45</v>
      </c>
      <c r="AO43">
        <v>59.891859258221302</v>
      </c>
      <c r="AP43" t="s">
        <v>46</v>
      </c>
    </row>
    <row r="45" spans="1:42" x14ac:dyDescent="0.3">
      <c r="A45" t="s">
        <v>56</v>
      </c>
      <c r="B45" s="1">
        <f>AVERAGEIF(C3:C42,"C",J3:J42)</f>
        <v>0.73695922999468133</v>
      </c>
    </row>
    <row r="46" spans="1:42" x14ac:dyDescent="0.3">
      <c r="A46" t="s">
        <v>57</v>
      </c>
      <c r="B46" s="1">
        <f>AVERAGEIF(C3:C42,"I",J3:J42)</f>
        <v>0.86807671500136985</v>
      </c>
    </row>
    <row r="47" spans="1:42" x14ac:dyDescent="0.3">
      <c r="A47" t="s">
        <v>65</v>
      </c>
      <c r="B47" s="1">
        <f>B46-B45</f>
        <v>0.13111748500668852</v>
      </c>
    </row>
    <row r="49" spans="1:2" x14ac:dyDescent="0.3">
      <c r="A49" t="s">
        <v>63</v>
      </c>
      <c r="B49" s="1">
        <f>_xlfn.STDEV.S(Sheet1!A3:A22)</f>
        <v>0.47325767824547288</v>
      </c>
    </row>
    <row r="50" spans="1:2" x14ac:dyDescent="0.3">
      <c r="A50" t="s">
        <v>64</v>
      </c>
      <c r="B50" s="1">
        <f>_xlfn.STDEV.S(Sheet1!B3:B22)</f>
        <v>0.28062401297979522</v>
      </c>
    </row>
  </sheetData>
  <autoFilter ref="A1:AP43" xr:uid="{F062A26C-5B0B-41B1-BE11-54EAF52D4B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6A06-21EC-47F0-91AC-F848562B766B}">
  <dimension ref="A1:B24"/>
  <sheetViews>
    <sheetView workbookViewId="0">
      <selection activeCell="A24" sqref="A24"/>
    </sheetView>
  </sheetViews>
  <sheetFormatPr defaultRowHeight="14.4" x14ac:dyDescent="0.3"/>
  <cols>
    <col min="1" max="1" width="9.44140625" bestFit="1" customWidth="1"/>
    <col min="2" max="2" width="10.7773437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 t="s">
        <v>60</v>
      </c>
    </row>
    <row r="3" spans="1:2" x14ac:dyDescent="0.3">
      <c r="A3">
        <v>2.4481531999772401</v>
      </c>
      <c r="B3">
        <v>1.5497392999823201</v>
      </c>
    </row>
    <row r="4" spans="1:2" x14ac:dyDescent="0.3">
      <c r="A4">
        <v>1.44279760000063</v>
      </c>
      <c r="B4">
        <v>1.0554888999904499</v>
      </c>
    </row>
    <row r="5" spans="1:2" x14ac:dyDescent="0.3">
      <c r="A5">
        <v>0.90328999998746395</v>
      </c>
      <c r="B5">
        <v>0.99414710002020001</v>
      </c>
    </row>
    <row r="6" spans="1:2" x14ac:dyDescent="0.3">
      <c r="A6">
        <v>0.66632379998918601</v>
      </c>
      <c r="B6">
        <v>0.89929039997514304</v>
      </c>
    </row>
    <row r="7" spans="1:2" x14ac:dyDescent="0.3">
      <c r="A7">
        <v>0.52325440000277001</v>
      </c>
      <c r="B7">
        <v>1.14087330002803</v>
      </c>
    </row>
    <row r="8" spans="1:2" x14ac:dyDescent="0.3">
      <c r="A8">
        <v>0.38581249996786898</v>
      </c>
      <c r="B8">
        <v>1.0459967000060699</v>
      </c>
    </row>
    <row r="9" spans="1:2" x14ac:dyDescent="0.3">
      <c r="A9">
        <v>0.52483470004517496</v>
      </c>
      <c r="B9">
        <v>1.01344670000253</v>
      </c>
    </row>
    <row r="10" spans="1:2" x14ac:dyDescent="0.3">
      <c r="A10">
        <v>0.35396610002499002</v>
      </c>
      <c r="B10">
        <v>0.82318949996260904</v>
      </c>
    </row>
    <row r="11" spans="1:2" x14ac:dyDescent="0.3">
      <c r="A11">
        <v>0.56459579995134801</v>
      </c>
      <c r="B11">
        <v>0.79235639999387697</v>
      </c>
    </row>
    <row r="12" spans="1:2" x14ac:dyDescent="0.3">
      <c r="A12">
        <v>0.76697160000912801</v>
      </c>
      <c r="B12">
        <v>0.98241280001820996</v>
      </c>
    </row>
    <row r="13" spans="1:2" x14ac:dyDescent="0.3">
      <c r="A13">
        <v>0.45451750000938701</v>
      </c>
      <c r="B13">
        <v>0.75199409999186095</v>
      </c>
    </row>
    <row r="14" spans="1:2" x14ac:dyDescent="0.3">
      <c r="A14">
        <v>0.75627309997798797</v>
      </c>
      <c r="B14">
        <v>0.70048170001246002</v>
      </c>
    </row>
    <row r="15" spans="1:2" x14ac:dyDescent="0.3">
      <c r="A15">
        <v>0.66077660000882998</v>
      </c>
      <c r="B15">
        <v>1.3154383999644701</v>
      </c>
    </row>
    <row r="16" spans="1:2" x14ac:dyDescent="0.3">
      <c r="A16">
        <v>0.360154499998316</v>
      </c>
      <c r="B16">
        <v>0.69450860004871995</v>
      </c>
    </row>
    <row r="17" spans="1:2" x14ac:dyDescent="0.3">
      <c r="A17">
        <v>0.32751069997902899</v>
      </c>
      <c r="B17">
        <v>0.439948000013828</v>
      </c>
    </row>
    <row r="18" spans="1:2" x14ac:dyDescent="0.3">
      <c r="A18">
        <v>0.66735359997255705</v>
      </c>
      <c r="B18">
        <v>0.46639630000572602</v>
      </c>
    </row>
    <row r="19" spans="1:2" x14ac:dyDescent="0.3">
      <c r="A19">
        <v>0.677200400037691</v>
      </c>
      <c r="B19">
        <v>0.51117289997637205</v>
      </c>
    </row>
    <row r="20" spans="1:2" x14ac:dyDescent="0.3">
      <c r="A20">
        <v>0.74959580000722703</v>
      </c>
      <c r="B20">
        <v>0.59450440004002303</v>
      </c>
    </row>
    <row r="21" spans="1:2" x14ac:dyDescent="0.3">
      <c r="A21">
        <v>0.73697109997738097</v>
      </c>
      <c r="B21">
        <v>0.76175210002111204</v>
      </c>
    </row>
    <row r="22" spans="1:2" x14ac:dyDescent="0.3">
      <c r="A22">
        <v>0.76883159996941597</v>
      </c>
      <c r="B22">
        <v>0.82839669997338194</v>
      </c>
    </row>
    <row r="23" spans="1:2" x14ac:dyDescent="0.3">
      <c r="A23" t="s">
        <v>62</v>
      </c>
    </row>
    <row r="24" spans="1:2" x14ac:dyDescent="0.3">
      <c r="A24" s="1">
        <f>_xlfn.T.TEST(A3:A22,B3:B22, 2, 1)</f>
        <v>0.14252155442801331</v>
      </c>
      <c r="B2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3_Stroop experiment fin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2025-08-25T12:15:38Z</dcterms:created>
  <dcterms:modified xsi:type="dcterms:W3CDTF">2025-08-25T13:09:47Z</dcterms:modified>
</cp:coreProperties>
</file>