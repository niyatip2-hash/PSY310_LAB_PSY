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esktop/PsychoPy/data/"/>
    </mc:Choice>
  </mc:AlternateContent>
  <xr:revisionPtr revIDLastSave="101" documentId="8_{FCC4290D-5396-44CA-BFEB-C5BED2708289}" xr6:coauthVersionLast="47" xr6:coauthVersionMax="47" xr10:uidLastSave="{0F8B89EC-B339-4164-BE8E-3EB285D9CC19}"/>
  <bookViews>
    <workbookView xWindow="-108" yWindow="-108" windowWidth="23256" windowHeight="12576" activeTab="3" xr2:uid="{0AC1687D-1F7D-42AE-8D89-B7DD39BC5B9A}"/>
  </bookViews>
  <sheets>
    <sheet name="subject 1" sheetId="2" r:id="rId1"/>
    <sheet name="subject 2" sheetId="3" r:id="rId2"/>
    <sheet name="subject 3" sheetId="4" r:id="rId3"/>
    <sheet name="combines sheet" sheetId="1" r:id="rId4"/>
  </sheets>
  <externalReferences>
    <externalReference r:id="rId5"/>
    <externalReference r:id="rId6"/>
    <externalReference r:id="rId7"/>
  </externalReferences>
  <definedNames>
    <definedName name="_xlnm._FilterDatabase" localSheetId="0" hidden="1">'subject 1'!$A$49:$B$50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11" i="1"/>
  <c r="D10" i="1"/>
  <c r="B9" i="1"/>
  <c r="B8" i="1"/>
  <c r="B7" i="1"/>
  <c r="B4" i="1"/>
  <c r="B3" i="1"/>
  <c r="B2" i="1"/>
  <c r="A76" i="4"/>
  <c r="B50" i="4"/>
  <c r="B49" i="4"/>
  <c r="B46" i="4"/>
  <c r="B47" i="4" s="1"/>
  <c r="B45" i="4"/>
  <c r="A74" i="3"/>
  <c r="B48" i="3"/>
  <c r="B47" i="3"/>
  <c r="B45" i="3"/>
  <c r="B46" i="3" s="1"/>
  <c r="B44" i="3"/>
  <c r="A77" i="2"/>
  <c r="B50" i="2"/>
  <c r="B49" i="2"/>
  <c r="B46" i="2"/>
  <c r="B47" i="2" s="1"/>
  <c r="B45" i="2"/>
</calcChain>
</file>

<file path=xl/sharedStrings.xml><?xml version="1.0" encoding="utf-8"?>
<sst xmlns="http://schemas.openxmlformats.org/spreadsheetml/2006/main" count="1772" uniqueCount="88">
  <si>
    <t>Participants</t>
  </si>
  <si>
    <t>subject 1</t>
  </si>
  <si>
    <t>subject 2</t>
  </si>
  <si>
    <t>subject 3</t>
  </si>
  <si>
    <t>Congruent avg.</t>
  </si>
  <si>
    <t>congruent STD</t>
  </si>
  <si>
    <t>incongruent avg.</t>
  </si>
  <si>
    <t>incongruent std</t>
  </si>
  <si>
    <t>difference</t>
  </si>
  <si>
    <t>word</t>
  </si>
  <si>
    <t>colour</t>
  </si>
  <si>
    <t>stim_condition</t>
  </si>
  <si>
    <t>correct_res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</si>
  <si>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</si>
  <si>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</si>
  <si>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</si>
  <si>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</si>
  <si>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</si>
  <si>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</si>
  <si>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</si>
  <si>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</si>
  <si>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</si>
  <si>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</si>
  <si>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</si>
  <si>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</si>
  <si>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</si>
  <si>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instruction.started</t>
  </si>
  <si>
    <t>text_2.started</t>
  </si>
  <si>
    <t>text_2.stopped</t>
  </si>
  <si>
    <t>instruction.stopped</t>
  </si>
  <si>
    <t>trial.started</t>
  </si>
  <si>
    <t>fixation.started</t>
  </si>
  <si>
    <t>fixation.stopped</t>
  </si>
  <si>
    <t>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</si>
  <si>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</si>
  <si>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</si>
  <si>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</si>
  <si>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</si>
  <si>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</si>
  <si>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</si>
  <si>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thanks.started</t>
  </si>
  <si>
    <t>text_3.started</t>
  </si>
  <si>
    <t>text_3.stopped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</si>
  <si>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</si>
  <si>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</si>
  <si>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</si>
  <si>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</si>
  <si>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</si>
  <si>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</si>
  <si>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</si>
  <si>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</si>
  <si>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</si>
  <si>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2025-08-25_18h08.22.242</t>
  </si>
  <si>
    <t>Stroop experiment final</t>
  </si>
  <si>
    <t>2025.2.0</t>
  </si>
  <si>
    <t>2025-08-25 18h08.22.316816 +0530</t>
  </si>
  <si>
    <t>RED</t>
  </si>
  <si>
    <t>red</t>
  </si>
  <si>
    <t>C</t>
  </si>
  <si>
    <t>r</t>
  </si>
  <si>
    <t>None</t>
  </si>
  <si>
    <t>BLUE</t>
  </si>
  <si>
    <t>blue</t>
  </si>
  <si>
    <t>b</t>
  </si>
  <si>
    <t>I</t>
  </si>
  <si>
    <t>Congruent avg</t>
  </si>
  <si>
    <t>incongruent avg</t>
  </si>
  <si>
    <t xml:space="preserve">std of congruent </t>
  </si>
  <si>
    <t>std of incongruent</t>
  </si>
  <si>
    <t>Congruent</t>
  </si>
  <si>
    <t>Incongruent</t>
  </si>
  <si>
    <t>RT</t>
  </si>
  <si>
    <t>t test</t>
  </si>
  <si>
    <t>P value</t>
  </si>
  <si>
    <t>2025-08-25_18h05.50.901</t>
  </si>
  <si>
    <t>2025-08-25 18h05.50.982992 +0530</t>
  </si>
  <si>
    <t>congruent avg</t>
  </si>
  <si>
    <t>std congruent</t>
  </si>
  <si>
    <t>std incongruent</t>
  </si>
  <si>
    <t xml:space="preserve">Congruent </t>
  </si>
  <si>
    <t>t-test</t>
  </si>
  <si>
    <t>2025-08-25_17h41.47.102</t>
  </si>
  <si>
    <t>2025-08-25 17h41.47.215449 +0530</t>
  </si>
  <si>
    <t>T-test</t>
  </si>
  <si>
    <t>Avg</t>
  </si>
  <si>
    <t>std</t>
  </si>
  <si>
    <t>DOF</t>
  </si>
  <si>
    <t>2 tailed 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</si>
</sst>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</a:t>
            </a:r>
            <a:r>
              <a:rPr lang="en-GB" baseline="0"/>
              <a:t> of all 3 subjects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'combines sheet'!$B$6</c:f>
              <c:strCache>
                <c:ptCount val="1"/>
                <c:pt idx="0">
                  <c:v>Congruent avg.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'combines sheet'!$A$7:$A$9</c:f>
              <c:strCache>
                <c:ptCount val="3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</c:strCache>
            </c:strRef>
          </c:cat>
          <c:val>
            <c:numRef>
              <c:f>'combines sheet'!$B$7:$B$9</c:f>
              <c:numCache>
                <c:formatCode>General</c:formatCode>
                <c:ptCount val="3"/>
                <c:pt idx="0">
                  <c:v>0.72072884444625862</c:v>
                </c:pt>
                <c:pt idx="1">
                  <c:v>0.56670655555272775</c:v>
                </c:pt>
                <c:pt idx="2">
                  <c:v>0.60267965555087522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6E-4D3A-B385-43ABC8E5184F}"/>
            </c:ext>
          </c:extLst>
        </c:ser>
        <c:ser>
          <c:idx val="1"/>
          <c:order val="1"/>
          <c:tx>
            <c:strRef>
              <c:f>'combines sheet'!$C$6</c:f>
              <c:strCache>
                <c:ptCount val="1"/>
                <c:pt idx="0">
                  <c:v>incongruent 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'combines sheet'!$A$7:$A$9</c:f>
              <c:strCache>
                <c:ptCount val="3"/>
                <c:pt idx="0">
                  <c:v>subject 1</c:v>
                </c:pt>
                <c:pt idx="1">
                  <c:v>subject 2</c:v>
                </c:pt>
                <c:pt idx="2">
                  <c:v>subject 3</c:v>
                </c:pt>
              </c:strCache>
            </c:strRef>
          </c:cat>
          <c:val>
            <c:numRef>
              <c:f>'combines sheet'!$C$7:$C$9</c:f>
              <c:numCache>
                <c:formatCode>General</c:formatCode>
                <c:ptCount val="3"/>
                <c:pt idx="0">
                  <c:v>0.42246052899999997</c:v>
                </c:pt>
                <c:pt idx="1">
                  <c:v>0.70014798499999997</c:v>
                </c:pt>
                <c:pt idx="2">
                  <c:v>0.86807671500000005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6E-4D3A-B385-43ABC8E51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1441951"/>
        <c:axId val="401436671"/>
      </c:barChart>
      <c:catAx>
        <c:axId val="40144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36671"/>
        <c:crosses val="autoZero"/>
        <c:auto val="1"/>
        <c:lblAlgn val="ctr"/>
        <c:lblOffset val="100"/>
        <c:noMultiLvlLbl val="0"/>
      </c:catAx>
      <c:valAx>
        <c:axId val="40143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4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7</xdr:row>
      <xdr:rowOff>57150</xdr:rowOff>
    </xdr:from>
    <xdr:to>
      <xdr:col>13</xdr:col>
      <xdr:colOff>320040</xdr:colOff>
      <xdr:row>22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526064-AAB7-1326-1122-D8A22C6A7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8be3da2df864ff4/Desktop/PsychoPy/data/subject%201_Stroop%20experiment%20final_2025-08-25_18h08.14.841.csv.xlsx" TargetMode="External"/><Relationship Id="rId1" Type="http://schemas.openxmlformats.org/officeDocument/2006/relationships/externalLinkPath" Target="subject%201_Stroop%20experiment%20final_2025-08-25_18h08.14.841.cs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8be3da2df864ff4/Desktop/PsychoPy/data/subject%202_Stroop%20experiment%20final_2025-08-25_18h04.56.231.csv.xlsx" TargetMode="External"/><Relationship Id="rId1" Type="http://schemas.openxmlformats.org/officeDocument/2006/relationships/externalLinkPath" Target="subject%202_Stroop%20experiment%20final_2025-08-25_18h04.56.231.csv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8be3da2df864ff4/Desktop/PsychoPy/data/subject%203_Stroop%20experiment%20final_2025-08-25_17h41.34.319.csv.xlsx" TargetMode="External"/><Relationship Id="rId1" Type="http://schemas.openxmlformats.org/officeDocument/2006/relationships/externalLinkPath" Target="subject%203_Stroop%20experiment%20final_2025-08-25_17h41.34.319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ject 1_Stroop experiment fin"/>
      <sheetName val="Sheet1"/>
    </sheetNames>
    <sheetDataSet>
      <sheetData sheetId="0"/>
      <sheetData sheetId="1">
        <row r="3">
          <cell r="A3">
            <v>1.35248620004858</v>
          </cell>
          <cell r="B3">
            <v>1.3906622999929801</v>
          </cell>
        </row>
        <row r="4">
          <cell r="A4">
            <v>0.60947209998266705</v>
          </cell>
          <cell r="B4">
            <v>1.24367999995592</v>
          </cell>
        </row>
        <row r="5">
          <cell r="A5">
            <v>1.11290519998874</v>
          </cell>
          <cell r="B5">
            <v>0.887402100022882</v>
          </cell>
        </row>
        <row r="6">
          <cell r="A6">
            <v>0.93396029999712404</v>
          </cell>
          <cell r="B6">
            <v>1.12753440003143</v>
          </cell>
        </row>
        <row r="7">
          <cell r="A7">
            <v>0.70729490002850004</v>
          </cell>
          <cell r="B7">
            <v>1.78584250004496</v>
          </cell>
        </row>
        <row r="8">
          <cell r="A8">
            <v>0.56358740001451202</v>
          </cell>
          <cell r="B8">
            <v>0.78050910000456497</v>
          </cell>
        </row>
        <row r="9">
          <cell r="A9">
            <v>0.65142940002260696</v>
          </cell>
          <cell r="B9">
            <v>0.80829979997361001</v>
          </cell>
        </row>
        <row r="10">
          <cell r="A10">
            <v>0.50623880000784904</v>
          </cell>
          <cell r="B10">
            <v>0.63160130003234305</v>
          </cell>
        </row>
        <row r="11">
          <cell r="A11">
            <v>0.70841080002719503</v>
          </cell>
          <cell r="B11">
            <v>0.91569579998031203</v>
          </cell>
        </row>
        <row r="12">
          <cell r="A12">
            <v>0.57945689995540295</v>
          </cell>
          <cell r="B12">
            <v>1.00105329998768</v>
          </cell>
        </row>
        <row r="13">
          <cell r="A13">
            <v>1.2132994999992599</v>
          </cell>
          <cell r="B13">
            <v>1.1791936000226899</v>
          </cell>
        </row>
        <row r="14">
          <cell r="A14">
            <v>0.66709160001482803</v>
          </cell>
          <cell r="B14">
            <v>0.58538689999841098</v>
          </cell>
        </row>
        <row r="15">
          <cell r="A15">
            <v>0.62277850002283197</v>
          </cell>
          <cell r="B15">
            <v>1.97206880000885</v>
          </cell>
        </row>
        <row r="16">
          <cell r="A16">
            <v>0.633905999944545</v>
          </cell>
          <cell r="B16">
            <v>1.3825584000442099</v>
          </cell>
        </row>
        <row r="17">
          <cell r="A17">
            <v>0.68107450002571501</v>
          </cell>
          <cell r="B17">
            <v>0.49114599998574698</v>
          </cell>
        </row>
        <row r="18">
          <cell r="A18">
            <v>0.64829590002773296</v>
          </cell>
          <cell r="B18">
            <v>0.56310939998365905</v>
          </cell>
        </row>
        <row r="19">
          <cell r="A19">
            <v>0.67691450001439002</v>
          </cell>
          <cell r="B19">
            <v>0.65036139998119302</v>
          </cell>
        </row>
        <row r="20">
          <cell r="A20">
            <v>0.777767499967012</v>
          </cell>
          <cell r="B20">
            <v>0.49036120000528099</v>
          </cell>
        </row>
        <row r="21">
          <cell r="A21">
            <v>0.55621339997742303</v>
          </cell>
          <cell r="B21">
            <v>1.18199180002557</v>
          </cell>
        </row>
        <row r="22">
          <cell r="A22">
            <v>0.732494099996984</v>
          </cell>
          <cell r="B22">
            <v>0.61318739998387095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ject 2_Stroop experiment fin"/>
      <sheetName val="Sheet1"/>
    </sheetNames>
    <sheetDataSet>
      <sheetData sheetId="0" refreshError="1"/>
      <sheetData sheetId="1">
        <row r="3">
          <cell r="A3">
            <v>0.92599670001072798</v>
          </cell>
          <cell r="B3">
            <v>0.93259140005102303</v>
          </cell>
        </row>
        <row r="4">
          <cell r="A4">
            <v>0.77713190001668397</v>
          </cell>
          <cell r="B4">
            <v>0.70419159997254599</v>
          </cell>
        </row>
        <row r="5">
          <cell r="A5">
            <v>0.48745819996111001</v>
          </cell>
          <cell r="B5">
            <v>0.50781590002588906</v>
          </cell>
        </row>
        <row r="6">
          <cell r="A6">
            <v>0.40611829998670101</v>
          </cell>
          <cell r="B6">
            <v>0.45985640003345901</v>
          </cell>
        </row>
        <row r="7">
          <cell r="A7">
            <v>0.40331369999330402</v>
          </cell>
          <cell r="B7">
            <v>0.50047579995589297</v>
          </cell>
        </row>
        <row r="8">
          <cell r="A8">
            <v>0.54092870000749804</v>
          </cell>
          <cell r="B8">
            <v>0.73561749997315895</v>
          </cell>
        </row>
        <row r="9">
          <cell r="A9">
            <v>0.49547119997441702</v>
          </cell>
          <cell r="B9">
            <v>0.61870890000136503</v>
          </cell>
        </row>
        <row r="10">
          <cell r="A10">
            <v>1.1467931999941301</v>
          </cell>
          <cell r="B10">
            <v>0.92242319998331301</v>
          </cell>
        </row>
        <row r="11">
          <cell r="A11">
            <v>0.434467100014444</v>
          </cell>
          <cell r="B11">
            <v>0.65160850004758597</v>
          </cell>
        </row>
        <row r="12">
          <cell r="A12">
            <v>1.0391407000133699</v>
          </cell>
          <cell r="B12">
            <v>0.69954949995735605</v>
          </cell>
        </row>
        <row r="13">
          <cell r="A13">
            <v>0.65679259999887996</v>
          </cell>
          <cell r="B13">
            <v>1.24151019996497</v>
          </cell>
        </row>
        <row r="14">
          <cell r="A14">
            <v>0.72609809995628805</v>
          </cell>
          <cell r="B14">
            <v>0.64508849999401696</v>
          </cell>
        </row>
        <row r="15">
          <cell r="A15">
            <v>0.435983499977737</v>
          </cell>
          <cell r="B15">
            <v>0.72865110001293898</v>
          </cell>
        </row>
        <row r="16">
          <cell r="A16">
            <v>0.46159660001285302</v>
          </cell>
          <cell r="B16">
            <v>0.68429319997085203</v>
          </cell>
        </row>
        <row r="17">
          <cell r="A17">
            <v>0.56707240000832804</v>
          </cell>
          <cell r="B17">
            <v>1.0294853999512199</v>
          </cell>
        </row>
        <row r="18">
          <cell r="A18">
            <v>0.49107680004089999</v>
          </cell>
          <cell r="B18">
            <v>0.35195520002162001</v>
          </cell>
        </row>
        <row r="19">
          <cell r="A19">
            <v>0.43719440000131699</v>
          </cell>
          <cell r="B19">
            <v>0.48138860001927197</v>
          </cell>
        </row>
        <row r="20">
          <cell r="A20">
            <v>0.44548929994925801</v>
          </cell>
          <cell r="B20">
            <v>0.87091289996169496</v>
          </cell>
        </row>
        <row r="21">
          <cell r="A21">
            <v>0.36798790004104298</v>
          </cell>
          <cell r="B21">
            <v>0.66388350003398899</v>
          </cell>
        </row>
        <row r="22">
          <cell r="A22">
            <v>0.65773530001752001</v>
          </cell>
          <cell r="B22">
            <v>0.57295240001985803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ject 3_Stroop experiment fin"/>
      <sheetName val="Sheet1"/>
    </sheetNames>
    <sheetDataSet>
      <sheetData sheetId="0" refreshError="1"/>
      <sheetData sheetId="1">
        <row r="3">
          <cell r="A3">
            <v>2.4481531999772401</v>
          </cell>
          <cell r="B3">
            <v>1.5497392999823201</v>
          </cell>
        </row>
        <row r="4">
          <cell r="A4">
            <v>1.44279760000063</v>
          </cell>
          <cell r="B4">
            <v>1.0554888999904499</v>
          </cell>
        </row>
        <row r="5">
          <cell r="A5">
            <v>0.90328999998746395</v>
          </cell>
          <cell r="B5">
            <v>0.99414710002020001</v>
          </cell>
        </row>
        <row r="6">
          <cell r="A6">
            <v>0.66632379998918601</v>
          </cell>
          <cell r="B6">
            <v>0.89929039997514304</v>
          </cell>
        </row>
        <row r="7">
          <cell r="A7">
            <v>0.52325440000277001</v>
          </cell>
          <cell r="B7">
            <v>1.14087330002803</v>
          </cell>
        </row>
        <row r="8">
          <cell r="A8">
            <v>0.38581249996786898</v>
          </cell>
          <cell r="B8">
            <v>1.0459967000060699</v>
          </cell>
        </row>
        <row r="9">
          <cell r="A9">
            <v>0.52483470004517496</v>
          </cell>
          <cell r="B9">
            <v>1.01344670000253</v>
          </cell>
        </row>
        <row r="10">
          <cell r="A10">
            <v>0.35396610002499002</v>
          </cell>
          <cell r="B10">
            <v>0.82318949996260904</v>
          </cell>
        </row>
        <row r="11">
          <cell r="A11">
            <v>0.56459579995134801</v>
          </cell>
          <cell r="B11">
            <v>0.79235639999387697</v>
          </cell>
        </row>
        <row r="12">
          <cell r="A12">
            <v>0.76697160000912801</v>
          </cell>
          <cell r="B12">
            <v>0.98241280001820996</v>
          </cell>
        </row>
        <row r="13">
          <cell r="A13">
            <v>0.45451750000938701</v>
          </cell>
          <cell r="B13">
            <v>0.75199409999186095</v>
          </cell>
        </row>
        <row r="14">
          <cell r="A14">
            <v>0.75627309997798797</v>
          </cell>
          <cell r="B14">
            <v>0.70048170001246002</v>
          </cell>
        </row>
        <row r="15">
          <cell r="A15">
            <v>0.66077660000882998</v>
          </cell>
          <cell r="B15">
            <v>1.3154383999644701</v>
          </cell>
        </row>
        <row r="16">
          <cell r="A16">
            <v>0.360154499998316</v>
          </cell>
          <cell r="B16">
            <v>0.69450860004871995</v>
          </cell>
        </row>
        <row r="17">
          <cell r="A17">
            <v>0.32751069997902899</v>
          </cell>
          <cell r="B17">
            <v>0.439948000013828</v>
          </cell>
        </row>
        <row r="18">
          <cell r="A18">
            <v>0.66735359997255705</v>
          </cell>
          <cell r="B18">
            <v>0.46639630000572602</v>
          </cell>
        </row>
        <row r="19">
          <cell r="A19">
            <v>0.677200400037691</v>
          </cell>
          <cell r="B19">
            <v>0.51117289997637205</v>
          </cell>
        </row>
        <row r="20">
          <cell r="A20">
            <v>0.74959580000722703</v>
          </cell>
          <cell r="B20">
            <v>0.59450440004002303</v>
          </cell>
        </row>
        <row r="21">
          <cell r="A21">
            <v>0.73697109997738097</v>
          </cell>
          <cell r="B21">
            <v>0.76175210002111204</v>
          </cell>
        </row>
        <row r="22">
          <cell r="A22">
            <v>0.76883159996941597</v>
          </cell>
          <cell r="B22">
            <v>0.82839669997338194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8505-7795-42D0-93BE-14A3F18D8B7D}">
  <dimension ref="A1:AQ77"/>
  <sheetViews>
    <sheetView topLeftCell="A19" zoomScale="89" zoomScaleNormal="55" workbookViewId="0">
      <selection activeCell="D61" sqref="D61"/>
    </sheetView>
  </sheetViews>
  <sheetFormatPr defaultRowHeight="14.4" x14ac:dyDescent="0.3"/>
  <cols>
    <col min="1" max="1" width="15.88671875" bestFit="1" customWidth="1"/>
    <col min="2" max="2" width="12" bestFit="1" customWidth="1"/>
  </cols>
  <sheetData>
    <row r="1" spans="1:43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 x14ac:dyDescent="0.3">
      <c r="R2">
        <v>1.3672999921254801E-3</v>
      </c>
      <c r="S2">
        <v>3.3397999941371299E-3</v>
      </c>
      <c r="T2">
        <v>1.0179939999943599</v>
      </c>
      <c r="U2">
        <v>0.99953739996999502</v>
      </c>
      <c r="AJ2" t="s">
        <v>1</v>
      </c>
      <c r="AK2">
        <v>1</v>
      </c>
      <c r="AL2" t="s">
        <v>52</v>
      </c>
      <c r="AM2" t="s">
        <v>53</v>
      </c>
      <c r="AO2" t="s">
        <v>54</v>
      </c>
      <c r="AP2">
        <v>60.055407128022601</v>
      </c>
      <c r="AQ2" t="s">
        <v>55</v>
      </c>
    </row>
    <row r="3" spans="1:43" x14ac:dyDescent="0.3">
      <c r="A3" t="s">
        <v>56</v>
      </c>
      <c r="B3" t="s">
        <v>57</v>
      </c>
      <c r="C3" t="s">
        <v>58</v>
      </c>
      <c r="D3" t="s">
        <v>59</v>
      </c>
      <c r="E3">
        <v>0</v>
      </c>
      <c r="F3">
        <v>0</v>
      </c>
      <c r="G3">
        <v>0</v>
      </c>
      <c r="H3" t="s">
        <v>59</v>
      </c>
      <c r="I3">
        <v>1</v>
      </c>
      <c r="J3">
        <v>1.35248620004858</v>
      </c>
      <c r="K3" t="s">
        <v>60</v>
      </c>
      <c r="L3">
        <v>0</v>
      </c>
      <c r="M3">
        <v>0</v>
      </c>
      <c r="N3">
        <v>0</v>
      </c>
      <c r="O3">
        <v>0</v>
      </c>
      <c r="P3">
        <v>1.0179939999943599</v>
      </c>
      <c r="V3">
        <v>1.0160554999602001</v>
      </c>
      <c r="W3">
        <v>1.0179939999943599</v>
      </c>
      <c r="X3">
        <v>1.51541389996418</v>
      </c>
      <c r="Y3">
        <v>1.51541389996418</v>
      </c>
      <c r="Z3">
        <v>1.51541389996418</v>
      </c>
      <c r="AA3">
        <v>2.8878310999716601</v>
      </c>
      <c r="AB3" t="s">
        <v>59</v>
      </c>
      <c r="AC3">
        <v>1</v>
      </c>
      <c r="AD3">
        <v>1.35248620004858</v>
      </c>
      <c r="AE3" t="s">
        <v>60</v>
      </c>
      <c r="AJ3" t="s">
        <v>1</v>
      </c>
      <c r="AK3">
        <v>1</v>
      </c>
      <c r="AL3" t="s">
        <v>52</v>
      </c>
      <c r="AM3" t="s">
        <v>53</v>
      </c>
      <c r="AO3" t="s">
        <v>54</v>
      </c>
      <c r="AP3">
        <v>60.055407128022601</v>
      </c>
      <c r="AQ3" t="s">
        <v>55</v>
      </c>
    </row>
    <row r="4" spans="1:43" x14ac:dyDescent="0.3">
      <c r="A4" t="s">
        <v>61</v>
      </c>
      <c r="B4" t="s">
        <v>62</v>
      </c>
      <c r="C4" t="s">
        <v>58</v>
      </c>
      <c r="D4" t="s">
        <v>63</v>
      </c>
      <c r="E4">
        <v>1</v>
      </c>
      <c r="F4">
        <v>1</v>
      </c>
      <c r="G4">
        <v>0</v>
      </c>
      <c r="H4" t="s">
        <v>63</v>
      </c>
      <c r="I4">
        <v>1</v>
      </c>
      <c r="J4">
        <v>0.60947209998266705</v>
      </c>
      <c r="K4" t="s">
        <v>60</v>
      </c>
      <c r="L4">
        <v>0</v>
      </c>
      <c r="M4">
        <v>1</v>
      </c>
      <c r="N4">
        <v>1</v>
      </c>
      <c r="O4">
        <v>3</v>
      </c>
      <c r="P4">
        <v>2.89739659999031</v>
      </c>
      <c r="V4">
        <v>2.8917586999595999</v>
      </c>
      <c r="W4">
        <v>2.89739659999031</v>
      </c>
      <c r="X4">
        <v>3.3974189999862499</v>
      </c>
      <c r="Y4">
        <v>3.3974189999862499</v>
      </c>
      <c r="Z4">
        <v>3.3974189999862499</v>
      </c>
      <c r="AA4">
        <v>4.0137854999629701</v>
      </c>
      <c r="AB4" t="s">
        <v>63</v>
      </c>
      <c r="AC4">
        <v>1</v>
      </c>
      <c r="AD4">
        <v>0.60947209998266705</v>
      </c>
      <c r="AE4" t="s">
        <v>60</v>
      </c>
      <c r="AJ4" t="s">
        <v>1</v>
      </c>
      <c r="AK4">
        <v>1</v>
      </c>
      <c r="AL4" t="s">
        <v>52</v>
      </c>
      <c r="AM4" t="s">
        <v>53</v>
      </c>
      <c r="AO4" t="s">
        <v>54</v>
      </c>
      <c r="AP4">
        <v>60.055407128022601</v>
      </c>
      <c r="AQ4" t="s">
        <v>55</v>
      </c>
    </row>
    <row r="5" spans="1:43" x14ac:dyDescent="0.3">
      <c r="A5" t="s">
        <v>56</v>
      </c>
      <c r="B5" t="s">
        <v>62</v>
      </c>
      <c r="C5" t="s">
        <v>64</v>
      </c>
      <c r="D5" t="s">
        <v>63</v>
      </c>
      <c r="E5">
        <v>2</v>
      </c>
      <c r="F5">
        <v>2</v>
      </c>
      <c r="G5">
        <v>0</v>
      </c>
      <c r="H5" t="s">
        <v>63</v>
      </c>
      <c r="I5">
        <v>1</v>
      </c>
      <c r="J5">
        <v>1.3906622999929801</v>
      </c>
      <c r="K5" t="s">
        <v>60</v>
      </c>
      <c r="L5">
        <v>0</v>
      </c>
      <c r="M5">
        <v>2</v>
      </c>
      <c r="N5">
        <v>2</v>
      </c>
      <c r="O5">
        <v>1</v>
      </c>
      <c r="P5">
        <v>4.0301531999721103</v>
      </c>
      <c r="V5">
        <v>4.0159282999811596</v>
      </c>
      <c r="W5">
        <v>4.0301531999721103</v>
      </c>
      <c r="X5">
        <v>4.5135889999801204</v>
      </c>
      <c r="Y5">
        <v>4.5135889999801204</v>
      </c>
      <c r="Z5">
        <v>4.5135889999801204</v>
      </c>
      <c r="AA5">
        <v>5.9132442999980404</v>
      </c>
      <c r="AB5" t="s">
        <v>63</v>
      </c>
      <c r="AC5">
        <v>1</v>
      </c>
      <c r="AD5">
        <v>1.3906622999929801</v>
      </c>
      <c r="AE5" t="s">
        <v>60</v>
      </c>
      <c r="AJ5" t="s">
        <v>1</v>
      </c>
      <c r="AK5">
        <v>1</v>
      </c>
      <c r="AL5" t="s">
        <v>52</v>
      </c>
      <c r="AM5" t="s">
        <v>53</v>
      </c>
      <c r="AO5" t="s">
        <v>54</v>
      </c>
      <c r="AP5">
        <v>60.055407128022601</v>
      </c>
      <c r="AQ5" t="s">
        <v>55</v>
      </c>
    </row>
    <row r="6" spans="1:43" x14ac:dyDescent="0.3">
      <c r="A6" t="s">
        <v>61</v>
      </c>
      <c r="B6" t="s">
        <v>57</v>
      </c>
      <c r="C6" t="s">
        <v>64</v>
      </c>
      <c r="D6" t="s">
        <v>59</v>
      </c>
      <c r="E6">
        <v>3</v>
      </c>
      <c r="F6">
        <v>3</v>
      </c>
      <c r="G6">
        <v>0</v>
      </c>
      <c r="H6" t="s">
        <v>59</v>
      </c>
      <c r="I6">
        <v>1</v>
      </c>
      <c r="J6">
        <v>1.24367999995592</v>
      </c>
      <c r="K6" t="s">
        <v>60</v>
      </c>
      <c r="L6">
        <v>0</v>
      </c>
      <c r="M6">
        <v>3</v>
      </c>
      <c r="N6">
        <v>3</v>
      </c>
      <c r="O6">
        <v>2</v>
      </c>
      <c r="P6">
        <v>5.9292344999848803</v>
      </c>
      <c r="V6">
        <v>5.9174240999855101</v>
      </c>
      <c r="W6">
        <v>5.9292344999848803</v>
      </c>
      <c r="X6">
        <v>6.4124043000046997</v>
      </c>
      <c r="Y6">
        <v>6.4124043000046997</v>
      </c>
      <c r="Z6">
        <v>6.4124043000046997</v>
      </c>
      <c r="AA6">
        <v>7.6622496999916603</v>
      </c>
      <c r="AB6" t="s">
        <v>59</v>
      </c>
      <c r="AC6">
        <v>1</v>
      </c>
      <c r="AD6">
        <v>1.24367999995592</v>
      </c>
      <c r="AE6" t="s">
        <v>60</v>
      </c>
      <c r="AJ6" t="s">
        <v>1</v>
      </c>
      <c r="AK6">
        <v>1</v>
      </c>
      <c r="AL6" t="s">
        <v>52</v>
      </c>
      <c r="AM6" t="s">
        <v>53</v>
      </c>
      <c r="AO6" t="s">
        <v>54</v>
      </c>
      <c r="AP6">
        <v>60.055407128022601</v>
      </c>
      <c r="AQ6" t="s">
        <v>55</v>
      </c>
    </row>
    <row r="7" spans="1:43" x14ac:dyDescent="0.3">
      <c r="A7" t="s">
        <v>61</v>
      </c>
      <c r="B7" t="s">
        <v>57</v>
      </c>
      <c r="C7" t="s">
        <v>64</v>
      </c>
      <c r="D7" t="s">
        <v>59</v>
      </c>
      <c r="E7">
        <v>4</v>
      </c>
      <c r="F7">
        <v>0</v>
      </c>
      <c r="G7">
        <v>1</v>
      </c>
      <c r="H7" t="s">
        <v>59</v>
      </c>
      <c r="I7">
        <v>1</v>
      </c>
      <c r="J7">
        <v>0.887402100022882</v>
      </c>
      <c r="K7" t="s">
        <v>60</v>
      </c>
      <c r="L7">
        <v>1</v>
      </c>
      <c r="M7">
        <v>0</v>
      </c>
      <c r="N7">
        <v>4</v>
      </c>
      <c r="O7">
        <v>2</v>
      </c>
      <c r="P7">
        <v>7.6782221999601399</v>
      </c>
      <c r="V7">
        <v>7.66316200001165</v>
      </c>
      <c r="W7">
        <v>7.6782221999601399</v>
      </c>
      <c r="X7">
        <v>8.1776809999719209</v>
      </c>
      <c r="Y7">
        <v>8.1776809999719209</v>
      </c>
      <c r="Z7">
        <v>8.1776809999719209</v>
      </c>
      <c r="AA7">
        <v>9.0778895000112207</v>
      </c>
      <c r="AB7" t="s">
        <v>59</v>
      </c>
      <c r="AC7">
        <v>1</v>
      </c>
      <c r="AD7">
        <v>0.887402100022882</v>
      </c>
      <c r="AE7" t="s">
        <v>60</v>
      </c>
      <c r="AJ7" t="s">
        <v>1</v>
      </c>
      <c r="AK7">
        <v>1</v>
      </c>
      <c r="AL7" t="s">
        <v>52</v>
      </c>
      <c r="AM7" t="s">
        <v>53</v>
      </c>
      <c r="AO7" t="s">
        <v>54</v>
      </c>
      <c r="AP7">
        <v>60.055407128022601</v>
      </c>
      <c r="AQ7" t="s">
        <v>55</v>
      </c>
    </row>
    <row r="8" spans="1:43" x14ac:dyDescent="0.3">
      <c r="A8" t="s">
        <v>56</v>
      </c>
      <c r="B8" t="s">
        <v>62</v>
      </c>
      <c r="C8" t="s">
        <v>64</v>
      </c>
      <c r="D8" t="s">
        <v>63</v>
      </c>
      <c r="E8">
        <v>5</v>
      </c>
      <c r="F8">
        <v>1</v>
      </c>
      <c r="G8">
        <v>1</v>
      </c>
      <c r="H8" t="s">
        <v>63</v>
      </c>
      <c r="I8">
        <v>1</v>
      </c>
      <c r="J8">
        <v>1.12753440003143</v>
      </c>
      <c r="K8" t="s">
        <v>60</v>
      </c>
      <c r="L8">
        <v>1</v>
      </c>
      <c r="M8">
        <v>1</v>
      </c>
      <c r="N8">
        <v>5</v>
      </c>
      <c r="O8">
        <v>1</v>
      </c>
      <c r="P8">
        <v>9.0939561999984999</v>
      </c>
      <c r="V8">
        <v>9.0819336000131408</v>
      </c>
      <c r="W8">
        <v>9.0939561999984999</v>
      </c>
      <c r="X8">
        <v>9.57701060001272</v>
      </c>
      <c r="Y8">
        <v>9.57701060001272</v>
      </c>
      <c r="Z8">
        <v>9.57701060001272</v>
      </c>
      <c r="AA8">
        <v>10.7101037999964</v>
      </c>
      <c r="AB8" t="s">
        <v>63</v>
      </c>
      <c r="AC8">
        <v>1</v>
      </c>
      <c r="AD8">
        <v>1.12753440003143</v>
      </c>
      <c r="AE8" t="s">
        <v>60</v>
      </c>
      <c r="AJ8" t="s">
        <v>1</v>
      </c>
      <c r="AK8">
        <v>1</v>
      </c>
      <c r="AL8" t="s">
        <v>52</v>
      </c>
      <c r="AM8" t="s">
        <v>53</v>
      </c>
      <c r="AO8" t="s">
        <v>54</v>
      </c>
      <c r="AP8">
        <v>60.055407128022601</v>
      </c>
      <c r="AQ8" t="s">
        <v>55</v>
      </c>
    </row>
    <row r="9" spans="1:43" x14ac:dyDescent="0.3">
      <c r="A9" t="s">
        <v>61</v>
      </c>
      <c r="B9" t="s">
        <v>62</v>
      </c>
      <c r="C9" t="s">
        <v>58</v>
      </c>
      <c r="D9" t="s">
        <v>63</v>
      </c>
      <c r="E9">
        <v>6</v>
      </c>
      <c r="F9">
        <v>2</v>
      </c>
      <c r="G9">
        <v>1</v>
      </c>
      <c r="H9" t="s">
        <v>63</v>
      </c>
      <c r="I9">
        <v>1</v>
      </c>
      <c r="J9">
        <v>1.11290519998874</v>
      </c>
      <c r="K9" t="s">
        <v>60</v>
      </c>
      <c r="L9">
        <v>1</v>
      </c>
      <c r="M9">
        <v>2</v>
      </c>
      <c r="N9">
        <v>6</v>
      </c>
      <c r="O9">
        <v>3</v>
      </c>
      <c r="P9">
        <v>10.7262268000049</v>
      </c>
      <c r="V9">
        <v>10.714193199994</v>
      </c>
      <c r="W9">
        <v>10.7262268000049</v>
      </c>
      <c r="X9">
        <v>11.2092412000056</v>
      </c>
      <c r="Y9">
        <v>11.2092412000056</v>
      </c>
      <c r="Z9">
        <v>11.2092412000056</v>
      </c>
      <c r="AA9">
        <v>12.325704799964999</v>
      </c>
      <c r="AB9" t="s">
        <v>63</v>
      </c>
      <c r="AC9">
        <v>1</v>
      </c>
      <c r="AD9">
        <v>1.11290519998874</v>
      </c>
      <c r="AE9" t="s">
        <v>60</v>
      </c>
      <c r="AJ9" t="s">
        <v>1</v>
      </c>
      <c r="AK9">
        <v>1</v>
      </c>
      <c r="AL9" t="s">
        <v>52</v>
      </c>
      <c r="AM9" t="s">
        <v>53</v>
      </c>
      <c r="AO9" t="s">
        <v>54</v>
      </c>
      <c r="AP9">
        <v>60.055407128022601</v>
      </c>
      <c r="AQ9" t="s">
        <v>55</v>
      </c>
    </row>
    <row r="10" spans="1:43" x14ac:dyDescent="0.3">
      <c r="A10" t="s">
        <v>56</v>
      </c>
      <c r="B10" t="s">
        <v>57</v>
      </c>
      <c r="C10" t="s">
        <v>58</v>
      </c>
      <c r="D10" t="s">
        <v>59</v>
      </c>
      <c r="E10">
        <v>7</v>
      </c>
      <c r="F10">
        <v>3</v>
      </c>
      <c r="G10">
        <v>1</v>
      </c>
      <c r="H10" t="s">
        <v>59</v>
      </c>
      <c r="I10">
        <v>1</v>
      </c>
      <c r="J10">
        <v>0.93396029999712404</v>
      </c>
      <c r="K10" t="s">
        <v>60</v>
      </c>
      <c r="L10">
        <v>1</v>
      </c>
      <c r="M10">
        <v>3</v>
      </c>
      <c r="N10">
        <v>7</v>
      </c>
      <c r="O10">
        <v>0</v>
      </c>
      <c r="P10">
        <v>12.3418808999704</v>
      </c>
      <c r="V10">
        <v>12.329581099969801</v>
      </c>
      <c r="W10">
        <v>12.3418808999704</v>
      </c>
      <c r="X10">
        <v>12.8248966999817</v>
      </c>
      <c r="Y10">
        <v>12.8248966999817</v>
      </c>
      <c r="Z10">
        <v>12.8248966999817</v>
      </c>
      <c r="AA10">
        <v>13.7749422999913</v>
      </c>
      <c r="AB10" t="s">
        <v>59</v>
      </c>
      <c r="AC10">
        <v>1</v>
      </c>
      <c r="AD10">
        <v>0.93396029999712404</v>
      </c>
      <c r="AE10" t="s">
        <v>60</v>
      </c>
      <c r="AJ10" t="s">
        <v>1</v>
      </c>
      <c r="AK10">
        <v>1</v>
      </c>
      <c r="AL10" t="s">
        <v>52</v>
      </c>
      <c r="AM10" t="s">
        <v>53</v>
      </c>
      <c r="AO10" t="s">
        <v>54</v>
      </c>
      <c r="AP10">
        <v>60.055407128022601</v>
      </c>
      <c r="AQ10" t="s">
        <v>55</v>
      </c>
    </row>
    <row r="11" spans="1:43" x14ac:dyDescent="0.3">
      <c r="A11" t="s">
        <v>61</v>
      </c>
      <c r="B11" t="s">
        <v>62</v>
      </c>
      <c r="C11" t="s">
        <v>58</v>
      </c>
      <c r="D11" t="s">
        <v>63</v>
      </c>
      <c r="E11">
        <v>8</v>
      </c>
      <c r="F11">
        <v>0</v>
      </c>
      <c r="G11">
        <v>2</v>
      </c>
      <c r="H11" t="s">
        <v>63</v>
      </c>
      <c r="I11">
        <v>1</v>
      </c>
      <c r="J11">
        <v>0.70729490002850004</v>
      </c>
      <c r="K11" t="s">
        <v>60</v>
      </c>
      <c r="L11">
        <v>2</v>
      </c>
      <c r="M11">
        <v>0</v>
      </c>
      <c r="N11">
        <v>8</v>
      </c>
      <c r="O11">
        <v>3</v>
      </c>
      <c r="P11">
        <v>13.791045099962499</v>
      </c>
      <c r="V11">
        <v>13.779167199972999</v>
      </c>
      <c r="W11">
        <v>13.791045099962499</v>
      </c>
      <c r="X11">
        <v>14.2907483999733</v>
      </c>
      <c r="Y11">
        <v>14.2907483999733</v>
      </c>
      <c r="Z11">
        <v>14.2907483999733</v>
      </c>
      <c r="AA11">
        <v>15.007472999976001</v>
      </c>
      <c r="AB11" t="s">
        <v>63</v>
      </c>
      <c r="AC11">
        <v>1</v>
      </c>
      <c r="AD11">
        <v>0.70729490002850004</v>
      </c>
      <c r="AE11" t="s">
        <v>60</v>
      </c>
      <c r="AJ11" t="s">
        <v>1</v>
      </c>
      <c r="AK11">
        <v>1</v>
      </c>
      <c r="AL11" t="s">
        <v>52</v>
      </c>
      <c r="AM11" t="s">
        <v>53</v>
      </c>
      <c r="AO11" t="s">
        <v>54</v>
      </c>
      <c r="AP11">
        <v>60.055407128022601</v>
      </c>
      <c r="AQ11" t="s">
        <v>55</v>
      </c>
    </row>
    <row r="12" spans="1:43" x14ac:dyDescent="0.3">
      <c r="A12" t="s">
        <v>56</v>
      </c>
      <c r="B12" t="s">
        <v>57</v>
      </c>
      <c r="C12" t="s">
        <v>58</v>
      </c>
      <c r="D12" t="s">
        <v>59</v>
      </c>
      <c r="E12">
        <v>9</v>
      </c>
      <c r="F12">
        <v>1</v>
      </c>
      <c r="G12">
        <v>2</v>
      </c>
      <c r="H12" t="s">
        <v>59</v>
      </c>
      <c r="I12">
        <v>1</v>
      </c>
      <c r="J12">
        <v>0.56358740001451202</v>
      </c>
      <c r="K12" t="s">
        <v>60</v>
      </c>
      <c r="L12">
        <v>2</v>
      </c>
      <c r="M12">
        <v>1</v>
      </c>
      <c r="N12">
        <v>9</v>
      </c>
      <c r="O12">
        <v>0</v>
      </c>
      <c r="P12">
        <v>15.0234380000038</v>
      </c>
      <c r="V12">
        <v>15.011435399996101</v>
      </c>
      <c r="W12">
        <v>15.0234380000038</v>
      </c>
      <c r="X12">
        <v>15.5066235999693</v>
      </c>
      <c r="Y12">
        <v>15.5066235999693</v>
      </c>
      <c r="Z12">
        <v>15.5066235999693</v>
      </c>
      <c r="AA12">
        <v>16.073423800000398</v>
      </c>
      <c r="AB12" t="s">
        <v>59</v>
      </c>
      <c r="AC12">
        <v>1</v>
      </c>
      <c r="AD12">
        <v>0.56358740001451202</v>
      </c>
      <c r="AE12" t="s">
        <v>60</v>
      </c>
      <c r="AJ12" t="s">
        <v>1</v>
      </c>
      <c r="AK12">
        <v>1</v>
      </c>
      <c r="AL12" t="s">
        <v>52</v>
      </c>
      <c r="AM12" t="s">
        <v>53</v>
      </c>
      <c r="AO12" t="s">
        <v>54</v>
      </c>
      <c r="AP12">
        <v>60.055407128022601</v>
      </c>
      <c r="AQ12" t="s">
        <v>55</v>
      </c>
    </row>
    <row r="13" spans="1:43" x14ac:dyDescent="0.3">
      <c r="A13" t="s">
        <v>61</v>
      </c>
      <c r="B13" t="s">
        <v>57</v>
      </c>
      <c r="C13" t="s">
        <v>64</v>
      </c>
      <c r="D13" t="s">
        <v>59</v>
      </c>
      <c r="E13">
        <v>10</v>
      </c>
      <c r="F13">
        <v>2</v>
      </c>
      <c r="G13">
        <v>2</v>
      </c>
      <c r="H13" t="s">
        <v>59</v>
      </c>
      <c r="I13">
        <v>1</v>
      </c>
      <c r="J13">
        <v>1.78584250004496</v>
      </c>
      <c r="K13" t="s">
        <v>60</v>
      </c>
      <c r="L13">
        <v>2</v>
      </c>
      <c r="M13">
        <v>2</v>
      </c>
      <c r="N13">
        <v>10</v>
      </c>
      <c r="O13">
        <v>2</v>
      </c>
      <c r="P13">
        <v>16.089483399991799</v>
      </c>
      <c r="V13">
        <v>16.0777409999864</v>
      </c>
      <c r="W13">
        <v>16.089483399991799</v>
      </c>
      <c r="X13">
        <v>16.572527299984301</v>
      </c>
      <c r="Y13">
        <v>16.572527299984301</v>
      </c>
      <c r="Z13">
        <v>16.572527299984301</v>
      </c>
      <c r="AA13">
        <v>18.371896399999901</v>
      </c>
      <c r="AB13" t="s">
        <v>59</v>
      </c>
      <c r="AC13">
        <v>1</v>
      </c>
      <c r="AD13">
        <v>1.78584250004496</v>
      </c>
      <c r="AE13" t="s">
        <v>60</v>
      </c>
      <c r="AJ13" t="s">
        <v>1</v>
      </c>
      <c r="AK13">
        <v>1</v>
      </c>
      <c r="AL13" t="s">
        <v>52</v>
      </c>
      <c r="AM13" t="s">
        <v>53</v>
      </c>
      <c r="AO13" t="s">
        <v>54</v>
      </c>
      <c r="AP13">
        <v>60.055407128022601</v>
      </c>
      <c r="AQ13" t="s">
        <v>55</v>
      </c>
    </row>
    <row r="14" spans="1:43" x14ac:dyDescent="0.3">
      <c r="A14" t="s">
        <v>56</v>
      </c>
      <c r="B14" t="s">
        <v>62</v>
      </c>
      <c r="C14" t="s">
        <v>64</v>
      </c>
      <c r="D14" t="s">
        <v>63</v>
      </c>
      <c r="E14">
        <v>11</v>
      </c>
      <c r="F14">
        <v>3</v>
      </c>
      <c r="G14">
        <v>2</v>
      </c>
      <c r="H14" t="s">
        <v>63</v>
      </c>
      <c r="I14">
        <v>1</v>
      </c>
      <c r="J14">
        <v>0.78050910000456497</v>
      </c>
      <c r="K14" t="s">
        <v>60</v>
      </c>
      <c r="L14">
        <v>2</v>
      </c>
      <c r="M14">
        <v>3</v>
      </c>
      <c r="N14">
        <v>11</v>
      </c>
      <c r="O14">
        <v>1</v>
      </c>
      <c r="P14">
        <v>18.388021399965499</v>
      </c>
      <c r="V14">
        <v>18.376004899968301</v>
      </c>
      <c r="W14">
        <v>18.388021399965499</v>
      </c>
      <c r="X14">
        <v>18.871106599981399</v>
      </c>
      <c r="Y14">
        <v>18.871106599981399</v>
      </c>
      <c r="Z14">
        <v>18.871106599981399</v>
      </c>
      <c r="AA14">
        <v>19.654414199991098</v>
      </c>
      <c r="AB14" t="s">
        <v>63</v>
      </c>
      <c r="AC14">
        <v>1</v>
      </c>
      <c r="AD14">
        <v>0.78050910000456497</v>
      </c>
      <c r="AE14" t="s">
        <v>60</v>
      </c>
      <c r="AJ14" t="s">
        <v>1</v>
      </c>
      <c r="AK14">
        <v>1</v>
      </c>
      <c r="AL14" t="s">
        <v>52</v>
      </c>
      <c r="AM14" t="s">
        <v>53</v>
      </c>
      <c r="AO14" t="s">
        <v>54</v>
      </c>
      <c r="AP14">
        <v>60.055407128022601</v>
      </c>
      <c r="AQ14" t="s">
        <v>55</v>
      </c>
    </row>
    <row r="15" spans="1:43" x14ac:dyDescent="0.3">
      <c r="A15" t="s">
        <v>56</v>
      </c>
      <c r="B15" t="s">
        <v>62</v>
      </c>
      <c r="C15" t="s">
        <v>64</v>
      </c>
      <c r="D15" t="s">
        <v>63</v>
      </c>
      <c r="E15">
        <v>12</v>
      </c>
      <c r="F15">
        <v>0</v>
      </c>
      <c r="G15">
        <v>3</v>
      </c>
      <c r="H15" t="s">
        <v>63</v>
      </c>
      <c r="I15">
        <v>1</v>
      </c>
      <c r="J15">
        <v>0.80829979997361001</v>
      </c>
      <c r="K15" t="s">
        <v>60</v>
      </c>
      <c r="L15">
        <v>3</v>
      </c>
      <c r="M15">
        <v>0</v>
      </c>
      <c r="N15">
        <v>12</v>
      </c>
      <c r="O15">
        <v>1</v>
      </c>
      <c r="P15">
        <v>19.670456199964899</v>
      </c>
      <c r="V15">
        <v>19.6552789999987</v>
      </c>
      <c r="W15">
        <v>19.670456199964899</v>
      </c>
      <c r="X15">
        <v>20.153667200007401</v>
      </c>
      <c r="Y15">
        <v>20.153667200007401</v>
      </c>
      <c r="Z15">
        <v>20.153667200007401</v>
      </c>
      <c r="AA15">
        <v>20.970347800001001</v>
      </c>
      <c r="AB15" t="s">
        <v>63</v>
      </c>
      <c r="AC15">
        <v>1</v>
      </c>
      <c r="AD15">
        <v>0.80829979997361001</v>
      </c>
      <c r="AE15" t="s">
        <v>60</v>
      </c>
      <c r="AJ15" t="s">
        <v>1</v>
      </c>
      <c r="AK15">
        <v>1</v>
      </c>
      <c r="AL15" t="s">
        <v>52</v>
      </c>
      <c r="AM15" t="s">
        <v>53</v>
      </c>
      <c r="AO15" t="s">
        <v>54</v>
      </c>
      <c r="AP15">
        <v>60.055407128022601</v>
      </c>
      <c r="AQ15" t="s">
        <v>55</v>
      </c>
    </row>
    <row r="16" spans="1:43" x14ac:dyDescent="0.3">
      <c r="A16" t="s">
        <v>61</v>
      </c>
      <c r="B16" t="s">
        <v>57</v>
      </c>
      <c r="C16" t="s">
        <v>64</v>
      </c>
      <c r="D16" t="s">
        <v>59</v>
      </c>
      <c r="E16">
        <v>13</v>
      </c>
      <c r="F16">
        <v>1</v>
      </c>
      <c r="G16">
        <v>3</v>
      </c>
      <c r="H16" t="s">
        <v>59</v>
      </c>
      <c r="I16">
        <v>1</v>
      </c>
      <c r="J16">
        <v>0.63160130003234305</v>
      </c>
      <c r="K16" t="s">
        <v>60</v>
      </c>
      <c r="L16">
        <v>3</v>
      </c>
      <c r="M16">
        <v>1</v>
      </c>
      <c r="N16">
        <v>13</v>
      </c>
      <c r="O16">
        <v>2</v>
      </c>
      <c r="P16">
        <v>20.986372999963301</v>
      </c>
      <c r="V16">
        <v>20.974531300016601</v>
      </c>
      <c r="W16">
        <v>20.986372999963301</v>
      </c>
      <c r="X16">
        <v>21.469422099995398</v>
      </c>
      <c r="Y16">
        <v>21.469422099995398</v>
      </c>
      <c r="Z16">
        <v>21.469422099995398</v>
      </c>
      <c r="AA16">
        <v>22.1028521999833</v>
      </c>
      <c r="AB16" t="s">
        <v>59</v>
      </c>
      <c r="AC16">
        <v>1</v>
      </c>
      <c r="AD16">
        <v>0.63160130003234305</v>
      </c>
      <c r="AE16" t="s">
        <v>60</v>
      </c>
      <c r="AJ16" t="s">
        <v>1</v>
      </c>
      <c r="AK16">
        <v>1</v>
      </c>
      <c r="AL16" t="s">
        <v>52</v>
      </c>
      <c r="AM16" t="s">
        <v>53</v>
      </c>
      <c r="AO16" t="s">
        <v>54</v>
      </c>
      <c r="AP16">
        <v>60.055407128022601</v>
      </c>
      <c r="AQ16" t="s">
        <v>55</v>
      </c>
    </row>
    <row r="17" spans="1:43" x14ac:dyDescent="0.3">
      <c r="A17" t="s">
        <v>61</v>
      </c>
      <c r="B17" t="s">
        <v>62</v>
      </c>
      <c r="C17" t="s">
        <v>58</v>
      </c>
      <c r="D17" t="s">
        <v>63</v>
      </c>
      <c r="E17">
        <v>14</v>
      </c>
      <c r="F17">
        <v>2</v>
      </c>
      <c r="G17">
        <v>3</v>
      </c>
      <c r="H17" t="s">
        <v>63</v>
      </c>
      <c r="I17">
        <v>1</v>
      </c>
      <c r="J17">
        <v>0.65142940002260696</v>
      </c>
      <c r="K17" t="s">
        <v>60</v>
      </c>
      <c r="L17">
        <v>3</v>
      </c>
      <c r="M17">
        <v>2</v>
      </c>
      <c r="N17">
        <v>14</v>
      </c>
      <c r="O17">
        <v>3</v>
      </c>
      <c r="P17">
        <v>22.119100200012301</v>
      </c>
      <c r="V17">
        <v>22.103707099973601</v>
      </c>
      <c r="W17">
        <v>22.119100200012301</v>
      </c>
      <c r="X17">
        <v>22.6019307000096</v>
      </c>
      <c r="Y17">
        <v>22.6019307000096</v>
      </c>
      <c r="Z17">
        <v>22.6019307000096</v>
      </c>
      <c r="AA17">
        <v>23.268956599989899</v>
      </c>
      <c r="AB17" t="s">
        <v>63</v>
      </c>
      <c r="AC17">
        <v>1</v>
      </c>
      <c r="AD17">
        <v>0.65142940002260696</v>
      </c>
      <c r="AE17" t="s">
        <v>60</v>
      </c>
      <c r="AJ17" t="s">
        <v>1</v>
      </c>
      <c r="AK17">
        <v>1</v>
      </c>
      <c r="AL17" t="s">
        <v>52</v>
      </c>
      <c r="AM17" t="s">
        <v>53</v>
      </c>
      <c r="AO17" t="s">
        <v>54</v>
      </c>
      <c r="AP17">
        <v>60.055407128022601</v>
      </c>
      <c r="AQ17" t="s">
        <v>55</v>
      </c>
    </row>
    <row r="18" spans="1:43" x14ac:dyDescent="0.3">
      <c r="A18" t="s">
        <v>56</v>
      </c>
      <c r="B18" t="s">
        <v>57</v>
      </c>
      <c r="C18" t="s">
        <v>58</v>
      </c>
      <c r="D18" t="s">
        <v>59</v>
      </c>
      <c r="E18">
        <v>15</v>
      </c>
      <c r="F18">
        <v>3</v>
      </c>
      <c r="G18">
        <v>3</v>
      </c>
      <c r="H18" t="s">
        <v>59</v>
      </c>
      <c r="I18">
        <v>1</v>
      </c>
      <c r="J18">
        <v>0.50623880000784904</v>
      </c>
      <c r="K18" t="s">
        <v>60</v>
      </c>
      <c r="L18">
        <v>3</v>
      </c>
      <c r="M18">
        <v>3</v>
      </c>
      <c r="N18">
        <v>15</v>
      </c>
      <c r="O18">
        <v>0</v>
      </c>
      <c r="P18">
        <v>23.284999799972798</v>
      </c>
      <c r="V18">
        <v>23.2733506999793</v>
      </c>
      <c r="W18">
        <v>23.284999799972798</v>
      </c>
      <c r="X18">
        <v>23.7846298000076</v>
      </c>
      <c r="Y18">
        <v>23.7846298000076</v>
      </c>
      <c r="Z18">
        <v>23.7846298000076</v>
      </c>
      <c r="AA18">
        <v>24.301638800010501</v>
      </c>
      <c r="AB18" t="s">
        <v>59</v>
      </c>
      <c r="AC18">
        <v>1</v>
      </c>
      <c r="AD18">
        <v>0.50623880000784904</v>
      </c>
      <c r="AE18" t="s">
        <v>60</v>
      </c>
      <c r="AJ18" t="s">
        <v>1</v>
      </c>
      <c r="AK18">
        <v>1</v>
      </c>
      <c r="AL18" t="s">
        <v>52</v>
      </c>
      <c r="AM18" t="s">
        <v>53</v>
      </c>
      <c r="AO18" t="s">
        <v>54</v>
      </c>
      <c r="AP18">
        <v>60.055407128022601</v>
      </c>
      <c r="AQ18" t="s">
        <v>55</v>
      </c>
    </row>
    <row r="19" spans="1:43" x14ac:dyDescent="0.3">
      <c r="A19" t="s">
        <v>61</v>
      </c>
      <c r="B19" t="s">
        <v>57</v>
      </c>
      <c r="C19" t="s">
        <v>64</v>
      </c>
      <c r="D19" t="s">
        <v>59</v>
      </c>
      <c r="E19">
        <v>16</v>
      </c>
      <c r="F19">
        <v>0</v>
      </c>
      <c r="G19">
        <v>4</v>
      </c>
      <c r="H19" t="s">
        <v>59</v>
      </c>
      <c r="I19">
        <v>1</v>
      </c>
      <c r="J19">
        <v>0.91569579998031203</v>
      </c>
      <c r="K19" t="s">
        <v>60</v>
      </c>
      <c r="L19">
        <v>4</v>
      </c>
      <c r="M19">
        <v>0</v>
      </c>
      <c r="N19">
        <v>16</v>
      </c>
      <c r="O19">
        <v>2</v>
      </c>
      <c r="P19">
        <v>24.317582599993301</v>
      </c>
      <c r="V19">
        <v>24.3058517000172</v>
      </c>
      <c r="W19">
        <v>24.317582599993301</v>
      </c>
      <c r="X19">
        <v>24.817304999975001</v>
      </c>
      <c r="Y19">
        <v>24.817304999975001</v>
      </c>
      <c r="Z19">
        <v>24.817304999975001</v>
      </c>
      <c r="AA19">
        <v>25.734152899996801</v>
      </c>
      <c r="AB19" t="s">
        <v>59</v>
      </c>
      <c r="AC19">
        <v>1</v>
      </c>
      <c r="AD19">
        <v>0.91569579998031203</v>
      </c>
      <c r="AE19" t="s">
        <v>60</v>
      </c>
      <c r="AJ19" t="s">
        <v>1</v>
      </c>
      <c r="AK19">
        <v>1</v>
      </c>
      <c r="AL19" t="s">
        <v>52</v>
      </c>
      <c r="AM19" t="s">
        <v>53</v>
      </c>
      <c r="AO19" t="s">
        <v>54</v>
      </c>
      <c r="AP19">
        <v>60.055407128022601</v>
      </c>
      <c r="AQ19" t="s">
        <v>55</v>
      </c>
    </row>
    <row r="20" spans="1:43" x14ac:dyDescent="0.3">
      <c r="A20" t="s">
        <v>61</v>
      </c>
      <c r="B20" t="s">
        <v>62</v>
      </c>
      <c r="C20" t="s">
        <v>58</v>
      </c>
      <c r="D20" t="s">
        <v>63</v>
      </c>
      <c r="E20">
        <v>17</v>
      </c>
      <c r="F20">
        <v>1</v>
      </c>
      <c r="G20">
        <v>4</v>
      </c>
      <c r="H20" t="s">
        <v>63</v>
      </c>
      <c r="I20">
        <v>1</v>
      </c>
      <c r="J20">
        <v>0.70841080002719503</v>
      </c>
      <c r="K20" t="s">
        <v>60</v>
      </c>
      <c r="L20">
        <v>4</v>
      </c>
      <c r="M20">
        <v>1</v>
      </c>
      <c r="N20">
        <v>17</v>
      </c>
      <c r="O20">
        <v>3</v>
      </c>
      <c r="P20">
        <v>25.750116100010899</v>
      </c>
      <c r="V20">
        <v>25.7350281999679</v>
      </c>
      <c r="W20">
        <v>25.750116100010899</v>
      </c>
      <c r="X20">
        <v>26.249671600002301</v>
      </c>
      <c r="Y20">
        <v>26.249671600002301</v>
      </c>
      <c r="Z20">
        <v>26.249671600002301</v>
      </c>
      <c r="AA20">
        <v>26.9665471999906</v>
      </c>
      <c r="AB20" t="s">
        <v>63</v>
      </c>
      <c r="AC20">
        <v>1</v>
      </c>
      <c r="AD20">
        <v>0.70841080002719503</v>
      </c>
      <c r="AE20" t="s">
        <v>60</v>
      </c>
      <c r="AJ20" t="s">
        <v>1</v>
      </c>
      <c r="AK20">
        <v>1</v>
      </c>
      <c r="AL20" t="s">
        <v>52</v>
      </c>
      <c r="AM20" t="s">
        <v>53</v>
      </c>
      <c r="AO20" t="s">
        <v>54</v>
      </c>
      <c r="AP20">
        <v>60.055407128022601</v>
      </c>
      <c r="AQ20" t="s">
        <v>55</v>
      </c>
    </row>
    <row r="21" spans="1:43" x14ac:dyDescent="0.3">
      <c r="A21" t="s">
        <v>56</v>
      </c>
      <c r="B21" t="s">
        <v>57</v>
      </c>
      <c r="C21" t="s">
        <v>58</v>
      </c>
      <c r="D21" t="s">
        <v>59</v>
      </c>
      <c r="E21">
        <v>18</v>
      </c>
      <c r="F21">
        <v>2</v>
      </c>
      <c r="G21">
        <v>4</v>
      </c>
      <c r="H21" t="s">
        <v>59</v>
      </c>
      <c r="I21">
        <v>1</v>
      </c>
      <c r="J21">
        <v>0.57945689995540295</v>
      </c>
      <c r="K21" t="s">
        <v>60</v>
      </c>
      <c r="L21">
        <v>4</v>
      </c>
      <c r="M21">
        <v>2</v>
      </c>
      <c r="N21">
        <v>18</v>
      </c>
      <c r="O21">
        <v>0</v>
      </c>
      <c r="P21">
        <v>26.982584699988301</v>
      </c>
      <c r="V21">
        <v>26.970625000016199</v>
      </c>
      <c r="W21">
        <v>26.982584699988301</v>
      </c>
      <c r="X21">
        <v>27.4655687999911</v>
      </c>
      <c r="Y21">
        <v>27.4655687999911</v>
      </c>
      <c r="Z21">
        <v>27.4655687999911</v>
      </c>
      <c r="AA21">
        <v>28.049218399973999</v>
      </c>
      <c r="AB21" t="s">
        <v>59</v>
      </c>
      <c r="AC21">
        <v>1</v>
      </c>
      <c r="AD21">
        <v>0.57945689995540295</v>
      </c>
      <c r="AE21" t="s">
        <v>60</v>
      </c>
      <c r="AJ21" t="s">
        <v>1</v>
      </c>
      <c r="AK21">
        <v>1</v>
      </c>
      <c r="AL21" t="s">
        <v>52</v>
      </c>
      <c r="AM21" t="s">
        <v>53</v>
      </c>
      <c r="AO21" t="s">
        <v>54</v>
      </c>
      <c r="AP21">
        <v>60.055407128022601</v>
      </c>
      <c r="AQ21" t="s">
        <v>55</v>
      </c>
    </row>
    <row r="22" spans="1:43" x14ac:dyDescent="0.3">
      <c r="A22" t="s">
        <v>56</v>
      </c>
      <c r="B22" t="s">
        <v>62</v>
      </c>
      <c r="C22" t="s">
        <v>64</v>
      </c>
      <c r="D22" t="s">
        <v>63</v>
      </c>
      <c r="E22">
        <v>19</v>
      </c>
      <c r="F22">
        <v>3</v>
      </c>
      <c r="G22">
        <v>4</v>
      </c>
      <c r="H22" t="s">
        <v>63</v>
      </c>
      <c r="I22">
        <v>1</v>
      </c>
      <c r="J22">
        <v>1.00105329998768</v>
      </c>
      <c r="K22" t="s">
        <v>60</v>
      </c>
      <c r="L22">
        <v>4</v>
      </c>
      <c r="M22">
        <v>3</v>
      </c>
      <c r="N22">
        <v>19</v>
      </c>
      <c r="O22">
        <v>1</v>
      </c>
      <c r="P22">
        <v>28.065158099983801</v>
      </c>
      <c r="V22">
        <v>28.0501483000116</v>
      </c>
      <c r="W22">
        <v>28.065158099983801</v>
      </c>
      <c r="X22">
        <v>28.564901900012</v>
      </c>
      <c r="Y22">
        <v>28.564901900012</v>
      </c>
      <c r="Z22">
        <v>28.564901900012</v>
      </c>
      <c r="AA22">
        <v>29.581774599966501</v>
      </c>
      <c r="AB22" t="s">
        <v>63</v>
      </c>
      <c r="AC22">
        <v>1</v>
      </c>
      <c r="AD22">
        <v>1.00105329998768</v>
      </c>
      <c r="AE22" t="s">
        <v>60</v>
      </c>
      <c r="AJ22" t="s">
        <v>1</v>
      </c>
      <c r="AK22">
        <v>1</v>
      </c>
      <c r="AL22" t="s">
        <v>52</v>
      </c>
      <c r="AM22" t="s">
        <v>53</v>
      </c>
      <c r="AO22" t="s">
        <v>54</v>
      </c>
      <c r="AP22">
        <v>60.055407128022601</v>
      </c>
      <c r="AQ22" t="s">
        <v>55</v>
      </c>
    </row>
    <row r="23" spans="1:43" x14ac:dyDescent="0.3">
      <c r="A23" t="s">
        <v>56</v>
      </c>
      <c r="B23" t="s">
        <v>57</v>
      </c>
      <c r="C23" t="s">
        <v>58</v>
      </c>
      <c r="D23" t="s">
        <v>59</v>
      </c>
      <c r="E23">
        <v>20</v>
      </c>
      <c r="F23">
        <v>0</v>
      </c>
      <c r="G23">
        <v>5</v>
      </c>
      <c r="H23" t="s">
        <v>59</v>
      </c>
      <c r="I23">
        <v>1</v>
      </c>
      <c r="J23">
        <v>1.2132994999992599</v>
      </c>
      <c r="K23" t="s">
        <v>60</v>
      </c>
      <c r="L23">
        <v>5</v>
      </c>
      <c r="M23">
        <v>0</v>
      </c>
      <c r="N23">
        <v>20</v>
      </c>
      <c r="O23">
        <v>0</v>
      </c>
      <c r="P23">
        <v>29.597697899967802</v>
      </c>
      <c r="V23">
        <v>29.582744100014601</v>
      </c>
      <c r="W23">
        <v>29.597697899967802</v>
      </c>
      <c r="X23">
        <v>30.097348199982601</v>
      </c>
      <c r="Y23">
        <v>30.097348199982601</v>
      </c>
      <c r="Z23">
        <v>30.097348199982601</v>
      </c>
      <c r="AA23">
        <v>31.313681599974998</v>
      </c>
      <c r="AB23" t="s">
        <v>59</v>
      </c>
      <c r="AC23">
        <v>1</v>
      </c>
      <c r="AD23">
        <v>1.2132994999992599</v>
      </c>
      <c r="AE23" t="s">
        <v>60</v>
      </c>
      <c r="AJ23" t="s">
        <v>1</v>
      </c>
      <c r="AK23">
        <v>1</v>
      </c>
      <c r="AL23" t="s">
        <v>52</v>
      </c>
      <c r="AM23" t="s">
        <v>53</v>
      </c>
      <c r="AO23" t="s">
        <v>54</v>
      </c>
      <c r="AP23">
        <v>60.055407128022601</v>
      </c>
      <c r="AQ23" t="s">
        <v>55</v>
      </c>
    </row>
    <row r="24" spans="1:43" x14ac:dyDescent="0.3">
      <c r="A24" t="s">
        <v>56</v>
      </c>
      <c r="B24" t="s">
        <v>62</v>
      </c>
      <c r="C24" t="s">
        <v>64</v>
      </c>
      <c r="D24" t="s">
        <v>63</v>
      </c>
      <c r="E24">
        <v>21</v>
      </c>
      <c r="F24">
        <v>1</v>
      </c>
      <c r="G24">
        <v>5</v>
      </c>
      <c r="H24" t="s">
        <v>63</v>
      </c>
      <c r="I24">
        <v>1</v>
      </c>
      <c r="J24">
        <v>1.1791936000226899</v>
      </c>
      <c r="K24" t="s">
        <v>60</v>
      </c>
      <c r="L24">
        <v>5</v>
      </c>
      <c r="M24">
        <v>1</v>
      </c>
      <c r="N24">
        <v>21</v>
      </c>
      <c r="O24">
        <v>1</v>
      </c>
      <c r="P24">
        <v>31.329761300003099</v>
      </c>
      <c r="V24">
        <v>31.314540399995099</v>
      </c>
      <c r="W24">
        <v>31.329761300003099</v>
      </c>
      <c r="X24">
        <v>31.812846999964599</v>
      </c>
      <c r="Y24">
        <v>31.812846999964599</v>
      </c>
      <c r="Z24">
        <v>31.812846999964599</v>
      </c>
      <c r="AA24">
        <v>32.996133300010101</v>
      </c>
      <c r="AB24" t="s">
        <v>63</v>
      </c>
      <c r="AC24">
        <v>1</v>
      </c>
      <c r="AD24">
        <v>1.1791936000226899</v>
      </c>
      <c r="AE24" t="s">
        <v>60</v>
      </c>
      <c r="AJ24" t="s">
        <v>1</v>
      </c>
      <c r="AK24">
        <v>1</v>
      </c>
      <c r="AL24" t="s">
        <v>52</v>
      </c>
      <c r="AM24" t="s">
        <v>53</v>
      </c>
      <c r="AO24" t="s">
        <v>54</v>
      </c>
      <c r="AP24">
        <v>60.055407128022601</v>
      </c>
      <c r="AQ24" t="s">
        <v>55</v>
      </c>
    </row>
    <row r="25" spans="1:43" x14ac:dyDescent="0.3">
      <c r="A25" t="s">
        <v>61</v>
      </c>
      <c r="B25" t="s">
        <v>62</v>
      </c>
      <c r="C25" t="s">
        <v>58</v>
      </c>
      <c r="D25" t="s">
        <v>63</v>
      </c>
      <c r="E25">
        <v>22</v>
      </c>
      <c r="F25">
        <v>2</v>
      </c>
      <c r="G25">
        <v>5</v>
      </c>
      <c r="H25" t="s">
        <v>63</v>
      </c>
      <c r="I25">
        <v>1</v>
      </c>
      <c r="J25">
        <v>0.66709160001482803</v>
      </c>
      <c r="K25" t="s">
        <v>60</v>
      </c>
      <c r="L25">
        <v>5</v>
      </c>
      <c r="M25">
        <v>2</v>
      </c>
      <c r="N25">
        <v>22</v>
      </c>
      <c r="O25">
        <v>3</v>
      </c>
      <c r="P25">
        <v>33.01207409997</v>
      </c>
      <c r="V25">
        <v>33.000308199960202</v>
      </c>
      <c r="W25">
        <v>33.01207409997</v>
      </c>
      <c r="X25">
        <v>33.511767299962202</v>
      </c>
      <c r="Y25">
        <v>33.511767299962202</v>
      </c>
      <c r="Z25">
        <v>33.511767299962202</v>
      </c>
      <c r="AA25">
        <v>34.195400999975298</v>
      </c>
      <c r="AB25" t="s">
        <v>63</v>
      </c>
      <c r="AC25">
        <v>1</v>
      </c>
      <c r="AD25">
        <v>0.66709160001482803</v>
      </c>
      <c r="AE25" t="s">
        <v>60</v>
      </c>
      <c r="AJ25" t="s">
        <v>1</v>
      </c>
      <c r="AK25">
        <v>1</v>
      </c>
      <c r="AL25" t="s">
        <v>52</v>
      </c>
      <c r="AM25" t="s">
        <v>53</v>
      </c>
      <c r="AO25" t="s">
        <v>54</v>
      </c>
      <c r="AP25">
        <v>60.055407128022601</v>
      </c>
      <c r="AQ25" t="s">
        <v>55</v>
      </c>
    </row>
    <row r="26" spans="1:43" x14ac:dyDescent="0.3">
      <c r="A26" t="s">
        <v>61</v>
      </c>
      <c r="B26" t="s">
        <v>57</v>
      </c>
      <c r="C26" t="s">
        <v>64</v>
      </c>
      <c r="D26" t="s">
        <v>59</v>
      </c>
      <c r="E26">
        <v>23</v>
      </c>
      <c r="F26">
        <v>3</v>
      </c>
      <c r="G26">
        <v>5</v>
      </c>
      <c r="H26" t="s">
        <v>59</v>
      </c>
      <c r="I26">
        <v>1</v>
      </c>
      <c r="J26">
        <v>0.58538689999841098</v>
      </c>
      <c r="K26" t="s">
        <v>60</v>
      </c>
      <c r="L26">
        <v>5</v>
      </c>
      <c r="M26">
        <v>3</v>
      </c>
      <c r="N26">
        <v>23</v>
      </c>
      <c r="O26">
        <v>2</v>
      </c>
      <c r="P26">
        <v>34.2113067999598</v>
      </c>
      <c r="V26">
        <v>34.196386899973703</v>
      </c>
      <c r="W26">
        <v>34.2113067999598</v>
      </c>
      <c r="X26">
        <v>34.7109806999797</v>
      </c>
      <c r="Y26">
        <v>34.7109806999797</v>
      </c>
      <c r="Z26">
        <v>34.7109806999797</v>
      </c>
      <c r="AA26">
        <v>35.3112406000145</v>
      </c>
      <c r="AB26" t="s">
        <v>59</v>
      </c>
      <c r="AC26">
        <v>1</v>
      </c>
      <c r="AD26">
        <v>0.58538689999841098</v>
      </c>
      <c r="AE26" t="s">
        <v>60</v>
      </c>
      <c r="AJ26" t="s">
        <v>1</v>
      </c>
      <c r="AK26">
        <v>1</v>
      </c>
      <c r="AL26" t="s">
        <v>52</v>
      </c>
      <c r="AM26" t="s">
        <v>53</v>
      </c>
      <c r="AO26" t="s">
        <v>54</v>
      </c>
      <c r="AP26">
        <v>60.055407128022601</v>
      </c>
      <c r="AQ26" t="s">
        <v>55</v>
      </c>
    </row>
    <row r="27" spans="1:43" x14ac:dyDescent="0.3">
      <c r="A27" t="s">
        <v>56</v>
      </c>
      <c r="B27" t="s">
        <v>62</v>
      </c>
      <c r="C27" t="s">
        <v>64</v>
      </c>
      <c r="D27" t="s">
        <v>63</v>
      </c>
      <c r="E27">
        <v>24</v>
      </c>
      <c r="F27">
        <v>0</v>
      </c>
      <c r="G27">
        <v>6</v>
      </c>
      <c r="H27" t="s">
        <v>63</v>
      </c>
      <c r="I27">
        <v>1</v>
      </c>
      <c r="J27">
        <v>1.97206880000885</v>
      </c>
      <c r="K27" t="s">
        <v>60</v>
      </c>
      <c r="L27">
        <v>6</v>
      </c>
      <c r="M27">
        <v>0</v>
      </c>
      <c r="N27">
        <v>24</v>
      </c>
      <c r="O27">
        <v>1</v>
      </c>
      <c r="P27">
        <v>35.327252299990498</v>
      </c>
      <c r="V27">
        <v>35.315205799997699</v>
      </c>
      <c r="W27">
        <v>35.327252299990498</v>
      </c>
      <c r="X27">
        <v>35.810177100007401</v>
      </c>
      <c r="Y27">
        <v>35.810177100007401</v>
      </c>
      <c r="Z27">
        <v>35.810177100007401</v>
      </c>
      <c r="AA27">
        <v>37.792795000015701</v>
      </c>
      <c r="AB27" t="s">
        <v>63</v>
      </c>
      <c r="AC27">
        <v>1</v>
      </c>
      <c r="AD27">
        <v>1.97206880000885</v>
      </c>
      <c r="AE27" t="s">
        <v>60</v>
      </c>
      <c r="AJ27" t="s">
        <v>1</v>
      </c>
      <c r="AK27">
        <v>1</v>
      </c>
      <c r="AL27" t="s">
        <v>52</v>
      </c>
      <c r="AM27" t="s">
        <v>53</v>
      </c>
      <c r="AO27" t="s">
        <v>54</v>
      </c>
      <c r="AP27">
        <v>60.055407128022601</v>
      </c>
      <c r="AQ27" t="s">
        <v>55</v>
      </c>
    </row>
    <row r="28" spans="1:43" x14ac:dyDescent="0.3">
      <c r="A28" t="s">
        <v>56</v>
      </c>
      <c r="B28" t="s">
        <v>57</v>
      </c>
      <c r="C28" t="s">
        <v>58</v>
      </c>
      <c r="D28" t="s">
        <v>59</v>
      </c>
      <c r="E28">
        <v>25</v>
      </c>
      <c r="F28">
        <v>1</v>
      </c>
      <c r="G28">
        <v>6</v>
      </c>
      <c r="H28" t="s">
        <v>59</v>
      </c>
      <c r="I28">
        <v>1</v>
      </c>
      <c r="J28">
        <v>0.62277850002283197</v>
      </c>
      <c r="K28" t="s">
        <v>60</v>
      </c>
      <c r="L28">
        <v>6</v>
      </c>
      <c r="M28">
        <v>1</v>
      </c>
      <c r="N28">
        <v>25</v>
      </c>
      <c r="O28">
        <v>0</v>
      </c>
      <c r="P28">
        <v>37.8089877999736</v>
      </c>
      <c r="V28">
        <v>37.793689799960703</v>
      </c>
      <c r="W28">
        <v>37.8089877999736</v>
      </c>
      <c r="X28">
        <v>38.292121200007301</v>
      </c>
      <c r="Y28">
        <v>38.292121200007301</v>
      </c>
      <c r="Z28">
        <v>38.292121200007301</v>
      </c>
      <c r="AA28">
        <v>38.925513299996901</v>
      </c>
      <c r="AB28" t="s">
        <v>59</v>
      </c>
      <c r="AC28">
        <v>1</v>
      </c>
      <c r="AD28">
        <v>0.62277850002283197</v>
      </c>
      <c r="AE28" t="s">
        <v>60</v>
      </c>
      <c r="AJ28" t="s">
        <v>1</v>
      </c>
      <c r="AK28">
        <v>1</v>
      </c>
      <c r="AL28" t="s">
        <v>52</v>
      </c>
      <c r="AM28" t="s">
        <v>53</v>
      </c>
      <c r="AO28" t="s">
        <v>54</v>
      </c>
      <c r="AP28">
        <v>60.055407128022601</v>
      </c>
      <c r="AQ28" t="s">
        <v>55</v>
      </c>
    </row>
    <row r="29" spans="1:43" x14ac:dyDescent="0.3">
      <c r="A29" t="s">
        <v>61</v>
      </c>
      <c r="B29" t="s">
        <v>62</v>
      </c>
      <c r="C29" t="s">
        <v>58</v>
      </c>
      <c r="D29" t="s">
        <v>63</v>
      </c>
      <c r="E29">
        <v>26</v>
      </c>
      <c r="F29">
        <v>2</v>
      </c>
      <c r="G29">
        <v>6</v>
      </c>
      <c r="H29" t="s">
        <v>63</v>
      </c>
      <c r="I29">
        <v>1</v>
      </c>
      <c r="J29">
        <v>0.633905999944545</v>
      </c>
      <c r="K29" t="s">
        <v>60</v>
      </c>
      <c r="L29">
        <v>6</v>
      </c>
      <c r="M29">
        <v>2</v>
      </c>
      <c r="N29">
        <v>26</v>
      </c>
      <c r="O29">
        <v>3</v>
      </c>
      <c r="P29">
        <v>38.941745899966897</v>
      </c>
      <c r="V29">
        <v>38.930042299965798</v>
      </c>
      <c r="W29">
        <v>38.941745899966897</v>
      </c>
      <c r="X29">
        <v>39.424671099986803</v>
      </c>
      <c r="Y29">
        <v>39.424671099986803</v>
      </c>
      <c r="Z29">
        <v>39.424671099986803</v>
      </c>
      <c r="AA29">
        <v>40.074937800003603</v>
      </c>
      <c r="AB29" t="s">
        <v>63</v>
      </c>
      <c r="AC29">
        <v>1</v>
      </c>
      <c r="AD29">
        <v>0.633905999944545</v>
      </c>
      <c r="AE29" t="s">
        <v>60</v>
      </c>
      <c r="AJ29" t="s">
        <v>1</v>
      </c>
      <c r="AK29">
        <v>1</v>
      </c>
      <c r="AL29" t="s">
        <v>52</v>
      </c>
      <c r="AM29" t="s">
        <v>53</v>
      </c>
      <c r="AO29" t="s">
        <v>54</v>
      </c>
      <c r="AP29">
        <v>60.055407128022601</v>
      </c>
      <c r="AQ29" t="s">
        <v>55</v>
      </c>
    </row>
    <row r="30" spans="1:43" x14ac:dyDescent="0.3">
      <c r="A30" t="s">
        <v>61</v>
      </c>
      <c r="B30" t="s">
        <v>57</v>
      </c>
      <c r="C30" t="s">
        <v>64</v>
      </c>
      <c r="D30" t="s">
        <v>59</v>
      </c>
      <c r="E30">
        <v>27</v>
      </c>
      <c r="F30">
        <v>3</v>
      </c>
      <c r="G30">
        <v>6</v>
      </c>
      <c r="H30" t="s">
        <v>59</v>
      </c>
      <c r="I30">
        <v>1</v>
      </c>
      <c r="J30">
        <v>1.3825584000442099</v>
      </c>
      <c r="K30" t="s">
        <v>60</v>
      </c>
      <c r="L30">
        <v>6</v>
      </c>
      <c r="M30">
        <v>3</v>
      </c>
      <c r="N30">
        <v>27</v>
      </c>
      <c r="O30">
        <v>2</v>
      </c>
      <c r="P30">
        <v>40.091033599979703</v>
      </c>
      <c r="V30">
        <v>40.075827199965701</v>
      </c>
      <c r="W30">
        <v>40.091033599979703</v>
      </c>
      <c r="X30">
        <v>40.590746200003103</v>
      </c>
      <c r="Y30">
        <v>40.590746200003103</v>
      </c>
      <c r="Z30">
        <v>40.590746200003103</v>
      </c>
      <c r="AA30">
        <v>41.990254200005403</v>
      </c>
      <c r="AB30" t="s">
        <v>59</v>
      </c>
      <c r="AC30">
        <v>1</v>
      </c>
      <c r="AD30">
        <v>1.3825584000442099</v>
      </c>
      <c r="AE30" t="s">
        <v>60</v>
      </c>
      <c r="AJ30" t="s">
        <v>1</v>
      </c>
      <c r="AK30">
        <v>1</v>
      </c>
      <c r="AL30" t="s">
        <v>52</v>
      </c>
      <c r="AM30" t="s">
        <v>53</v>
      </c>
      <c r="AO30" t="s">
        <v>54</v>
      </c>
      <c r="AP30">
        <v>60.055407128022601</v>
      </c>
      <c r="AQ30" t="s">
        <v>55</v>
      </c>
    </row>
    <row r="31" spans="1:43" x14ac:dyDescent="0.3">
      <c r="A31" t="s">
        <v>61</v>
      </c>
      <c r="B31" t="s">
        <v>57</v>
      </c>
      <c r="C31" t="s">
        <v>64</v>
      </c>
      <c r="D31" t="s">
        <v>59</v>
      </c>
      <c r="E31">
        <v>28</v>
      </c>
      <c r="F31">
        <v>0</v>
      </c>
      <c r="G31">
        <v>7</v>
      </c>
      <c r="H31" t="s">
        <v>59</v>
      </c>
      <c r="I31">
        <v>1</v>
      </c>
      <c r="J31">
        <v>0.49114599998574698</v>
      </c>
      <c r="K31" t="s">
        <v>60</v>
      </c>
      <c r="L31">
        <v>7</v>
      </c>
      <c r="M31">
        <v>0</v>
      </c>
      <c r="N31">
        <v>28</v>
      </c>
      <c r="O31">
        <v>2</v>
      </c>
      <c r="P31">
        <v>42.006428499997099</v>
      </c>
      <c r="V31">
        <v>41.991148500004698</v>
      </c>
      <c r="W31">
        <v>42.006428499997099</v>
      </c>
      <c r="X31">
        <v>42.489459300006203</v>
      </c>
      <c r="Y31">
        <v>42.489459300006203</v>
      </c>
      <c r="Z31">
        <v>42.489459300006203</v>
      </c>
      <c r="AA31">
        <v>42.989670499984598</v>
      </c>
      <c r="AB31" t="s">
        <v>59</v>
      </c>
      <c r="AC31">
        <v>1</v>
      </c>
      <c r="AD31">
        <v>0.49114599998574698</v>
      </c>
      <c r="AE31" t="s">
        <v>60</v>
      </c>
      <c r="AJ31" t="s">
        <v>1</v>
      </c>
      <c r="AK31">
        <v>1</v>
      </c>
      <c r="AL31" t="s">
        <v>52</v>
      </c>
      <c r="AM31" t="s">
        <v>53</v>
      </c>
      <c r="AO31" t="s">
        <v>54</v>
      </c>
      <c r="AP31">
        <v>60.055407128022601</v>
      </c>
      <c r="AQ31" t="s">
        <v>55</v>
      </c>
    </row>
    <row r="32" spans="1:43" x14ac:dyDescent="0.3">
      <c r="A32" t="s">
        <v>56</v>
      </c>
      <c r="B32" t="s">
        <v>62</v>
      </c>
      <c r="C32" t="s">
        <v>64</v>
      </c>
      <c r="D32" t="s">
        <v>63</v>
      </c>
      <c r="E32">
        <v>29</v>
      </c>
      <c r="F32">
        <v>1</v>
      </c>
      <c r="G32">
        <v>7</v>
      </c>
      <c r="H32" t="s">
        <v>63</v>
      </c>
      <c r="I32">
        <v>1</v>
      </c>
      <c r="J32">
        <v>0.56310939998365905</v>
      </c>
      <c r="K32" t="s">
        <v>60</v>
      </c>
      <c r="L32">
        <v>7</v>
      </c>
      <c r="M32">
        <v>1</v>
      </c>
      <c r="N32">
        <v>29</v>
      </c>
      <c r="O32">
        <v>1</v>
      </c>
      <c r="P32">
        <v>43.005671699997002</v>
      </c>
      <c r="V32">
        <v>42.993636399973099</v>
      </c>
      <c r="W32">
        <v>43.005671699997002</v>
      </c>
      <c r="X32">
        <v>43.488835799973401</v>
      </c>
      <c r="Y32">
        <v>43.488835799973401</v>
      </c>
      <c r="Z32">
        <v>43.488835799973401</v>
      </c>
      <c r="AA32">
        <v>44.055655299976898</v>
      </c>
      <c r="AB32" t="s">
        <v>63</v>
      </c>
      <c r="AC32">
        <v>1</v>
      </c>
      <c r="AD32">
        <v>0.56310939998365905</v>
      </c>
      <c r="AE32" t="s">
        <v>60</v>
      </c>
      <c r="AJ32" t="s">
        <v>1</v>
      </c>
      <c r="AK32">
        <v>1</v>
      </c>
      <c r="AL32" t="s">
        <v>52</v>
      </c>
      <c r="AM32" t="s">
        <v>53</v>
      </c>
      <c r="AO32" t="s">
        <v>54</v>
      </c>
      <c r="AP32">
        <v>60.055407128022601</v>
      </c>
      <c r="AQ32" t="s">
        <v>55</v>
      </c>
    </row>
    <row r="33" spans="1:43" x14ac:dyDescent="0.3">
      <c r="A33" t="s">
        <v>56</v>
      </c>
      <c r="B33" t="s">
        <v>57</v>
      </c>
      <c r="C33" t="s">
        <v>58</v>
      </c>
      <c r="D33" t="s">
        <v>59</v>
      </c>
      <c r="E33">
        <v>30</v>
      </c>
      <c r="F33">
        <v>2</v>
      </c>
      <c r="G33">
        <v>7</v>
      </c>
      <c r="H33" t="s">
        <v>59</v>
      </c>
      <c r="I33">
        <v>1</v>
      </c>
      <c r="J33">
        <v>0.68107450002571501</v>
      </c>
      <c r="K33" t="s">
        <v>60</v>
      </c>
      <c r="L33">
        <v>7</v>
      </c>
      <c r="M33">
        <v>2</v>
      </c>
      <c r="N33">
        <v>30</v>
      </c>
      <c r="O33">
        <v>0</v>
      </c>
      <c r="P33">
        <v>44.071829599968602</v>
      </c>
      <c r="V33">
        <v>44.0565043999813</v>
      </c>
      <c r="W33">
        <v>44.071829599968602</v>
      </c>
      <c r="X33">
        <v>44.554781100014203</v>
      </c>
      <c r="Y33">
        <v>44.554781100014203</v>
      </c>
      <c r="Z33">
        <v>44.554781100014203</v>
      </c>
      <c r="AA33">
        <v>45.238109899975797</v>
      </c>
      <c r="AB33" t="s">
        <v>59</v>
      </c>
      <c r="AC33">
        <v>1</v>
      </c>
      <c r="AD33">
        <v>0.68107450002571501</v>
      </c>
      <c r="AE33" t="s">
        <v>60</v>
      </c>
      <c r="AJ33" t="s">
        <v>1</v>
      </c>
      <c r="AK33">
        <v>1</v>
      </c>
      <c r="AL33" t="s">
        <v>52</v>
      </c>
      <c r="AM33" t="s">
        <v>53</v>
      </c>
      <c r="AO33" t="s">
        <v>54</v>
      </c>
      <c r="AP33">
        <v>60.055407128022601</v>
      </c>
      <c r="AQ33" t="s">
        <v>55</v>
      </c>
    </row>
    <row r="34" spans="1:43" x14ac:dyDescent="0.3">
      <c r="A34" t="s">
        <v>61</v>
      </c>
      <c r="B34" t="s">
        <v>62</v>
      </c>
      <c r="C34" t="s">
        <v>58</v>
      </c>
      <c r="D34" t="s">
        <v>63</v>
      </c>
      <c r="E34">
        <v>31</v>
      </c>
      <c r="F34">
        <v>3</v>
      </c>
      <c r="G34">
        <v>7</v>
      </c>
      <c r="H34" t="s">
        <v>63</v>
      </c>
      <c r="I34">
        <v>1</v>
      </c>
      <c r="J34">
        <v>0.64829590002773296</v>
      </c>
      <c r="K34" t="s">
        <v>60</v>
      </c>
      <c r="L34">
        <v>7</v>
      </c>
      <c r="M34">
        <v>3</v>
      </c>
      <c r="N34">
        <v>31</v>
      </c>
      <c r="O34">
        <v>3</v>
      </c>
      <c r="P34">
        <v>45.254192199965402</v>
      </c>
      <c r="V34">
        <v>45.242426999960998</v>
      </c>
      <c r="W34">
        <v>45.254192199965402</v>
      </c>
      <c r="X34">
        <v>45.737336899968703</v>
      </c>
      <c r="Y34">
        <v>45.737336899968703</v>
      </c>
      <c r="Z34">
        <v>45.737336899968703</v>
      </c>
      <c r="AA34">
        <v>46.387497399991801</v>
      </c>
      <c r="AB34" t="s">
        <v>63</v>
      </c>
      <c r="AC34">
        <v>1</v>
      </c>
      <c r="AD34">
        <v>0.64829590002773296</v>
      </c>
      <c r="AE34" t="s">
        <v>60</v>
      </c>
      <c r="AJ34" t="s">
        <v>1</v>
      </c>
      <c r="AK34">
        <v>1</v>
      </c>
      <c r="AL34" t="s">
        <v>52</v>
      </c>
      <c r="AM34" t="s">
        <v>53</v>
      </c>
      <c r="AO34" t="s">
        <v>54</v>
      </c>
      <c r="AP34">
        <v>60.055407128022601</v>
      </c>
      <c r="AQ34" t="s">
        <v>55</v>
      </c>
    </row>
    <row r="35" spans="1:43" x14ac:dyDescent="0.3">
      <c r="A35" t="s">
        <v>56</v>
      </c>
      <c r="B35" t="s">
        <v>57</v>
      </c>
      <c r="C35" t="s">
        <v>58</v>
      </c>
      <c r="D35" t="s">
        <v>59</v>
      </c>
      <c r="E35">
        <v>32</v>
      </c>
      <c r="F35">
        <v>0</v>
      </c>
      <c r="G35">
        <v>8</v>
      </c>
      <c r="H35" t="s">
        <v>59</v>
      </c>
      <c r="I35">
        <v>1</v>
      </c>
      <c r="J35">
        <v>0.67691450001439002</v>
      </c>
      <c r="K35" t="s">
        <v>60</v>
      </c>
      <c r="L35">
        <v>8</v>
      </c>
      <c r="M35">
        <v>0</v>
      </c>
      <c r="N35">
        <v>32</v>
      </c>
      <c r="O35">
        <v>0</v>
      </c>
      <c r="P35">
        <v>46.403522000007797</v>
      </c>
      <c r="V35">
        <v>46.391623199975498</v>
      </c>
      <c r="W35">
        <v>46.403522000007797</v>
      </c>
      <c r="X35">
        <v>46.886650500004102</v>
      </c>
      <c r="Y35">
        <v>46.886650500004102</v>
      </c>
      <c r="Z35">
        <v>46.886650500004102</v>
      </c>
      <c r="AA35">
        <v>47.5701673000003</v>
      </c>
      <c r="AB35" t="s">
        <v>59</v>
      </c>
      <c r="AC35">
        <v>1</v>
      </c>
      <c r="AD35">
        <v>0.67691450001439002</v>
      </c>
      <c r="AE35" t="s">
        <v>60</v>
      </c>
      <c r="AJ35" t="s">
        <v>1</v>
      </c>
      <c r="AK35">
        <v>1</v>
      </c>
      <c r="AL35" t="s">
        <v>52</v>
      </c>
      <c r="AM35" t="s">
        <v>53</v>
      </c>
      <c r="AO35" t="s">
        <v>54</v>
      </c>
      <c r="AP35">
        <v>60.055407128022601</v>
      </c>
      <c r="AQ35" t="s">
        <v>55</v>
      </c>
    </row>
    <row r="36" spans="1:43" x14ac:dyDescent="0.3">
      <c r="A36" t="s">
        <v>61</v>
      </c>
      <c r="B36" t="s">
        <v>57</v>
      </c>
      <c r="C36" t="s">
        <v>64</v>
      </c>
      <c r="D36" t="s">
        <v>59</v>
      </c>
      <c r="E36">
        <v>33</v>
      </c>
      <c r="F36">
        <v>1</v>
      </c>
      <c r="G36">
        <v>8</v>
      </c>
      <c r="H36" t="s">
        <v>59</v>
      </c>
      <c r="I36">
        <v>1</v>
      </c>
      <c r="J36">
        <v>0.65036139998119302</v>
      </c>
      <c r="K36" t="s">
        <v>60</v>
      </c>
      <c r="L36">
        <v>8</v>
      </c>
      <c r="M36">
        <v>1</v>
      </c>
      <c r="N36">
        <v>33</v>
      </c>
      <c r="O36">
        <v>2</v>
      </c>
      <c r="P36">
        <v>47.586202099977498</v>
      </c>
      <c r="V36">
        <v>47.574143800011299</v>
      </c>
      <c r="W36">
        <v>47.586202099977498</v>
      </c>
      <c r="X36">
        <v>48.085893500014201</v>
      </c>
      <c r="Y36">
        <v>48.085893500014201</v>
      </c>
      <c r="Z36">
        <v>48.085893500014201</v>
      </c>
      <c r="AA36">
        <v>48.752740699972399</v>
      </c>
      <c r="AB36" t="s">
        <v>59</v>
      </c>
      <c r="AC36">
        <v>1</v>
      </c>
      <c r="AD36">
        <v>0.65036139998119302</v>
      </c>
      <c r="AE36" t="s">
        <v>60</v>
      </c>
      <c r="AJ36" t="s">
        <v>1</v>
      </c>
      <c r="AK36">
        <v>1</v>
      </c>
      <c r="AL36" t="s">
        <v>52</v>
      </c>
      <c r="AM36" t="s">
        <v>53</v>
      </c>
      <c r="AO36" t="s">
        <v>54</v>
      </c>
      <c r="AP36">
        <v>60.055407128022601</v>
      </c>
      <c r="AQ36" t="s">
        <v>55</v>
      </c>
    </row>
    <row r="37" spans="1:43" x14ac:dyDescent="0.3">
      <c r="A37" t="s">
        <v>56</v>
      </c>
      <c r="B37" t="s">
        <v>62</v>
      </c>
      <c r="C37" t="s">
        <v>64</v>
      </c>
      <c r="D37" t="s">
        <v>63</v>
      </c>
      <c r="E37">
        <v>34</v>
      </c>
      <c r="F37">
        <v>2</v>
      </c>
      <c r="G37">
        <v>8</v>
      </c>
      <c r="H37" t="s">
        <v>63</v>
      </c>
      <c r="I37">
        <v>1</v>
      </c>
      <c r="J37">
        <v>0.49036120000528099</v>
      </c>
      <c r="K37" t="s">
        <v>60</v>
      </c>
      <c r="L37">
        <v>8</v>
      </c>
      <c r="M37">
        <v>2</v>
      </c>
      <c r="N37">
        <v>34</v>
      </c>
      <c r="O37">
        <v>1</v>
      </c>
      <c r="P37">
        <v>48.7688625999726</v>
      </c>
      <c r="V37">
        <v>48.757151699974202</v>
      </c>
      <c r="W37">
        <v>48.7688625999726</v>
      </c>
      <c r="X37">
        <v>49.251727099996003</v>
      </c>
      <c r="Y37">
        <v>49.251727099996003</v>
      </c>
      <c r="Z37">
        <v>49.251727099996003</v>
      </c>
      <c r="AA37">
        <v>49.752050000010001</v>
      </c>
      <c r="AB37" t="s">
        <v>63</v>
      </c>
      <c r="AC37">
        <v>1</v>
      </c>
      <c r="AD37">
        <v>0.49036120000528099</v>
      </c>
      <c r="AE37" t="s">
        <v>60</v>
      </c>
      <c r="AJ37" t="s">
        <v>1</v>
      </c>
      <c r="AK37">
        <v>1</v>
      </c>
      <c r="AL37" t="s">
        <v>52</v>
      </c>
      <c r="AM37" t="s">
        <v>53</v>
      </c>
      <c r="AO37" t="s">
        <v>54</v>
      </c>
      <c r="AP37">
        <v>60.055407128022601</v>
      </c>
      <c r="AQ37" t="s">
        <v>55</v>
      </c>
    </row>
    <row r="38" spans="1:43" x14ac:dyDescent="0.3">
      <c r="A38" t="s">
        <v>61</v>
      </c>
      <c r="B38" t="s">
        <v>62</v>
      </c>
      <c r="C38" t="s">
        <v>58</v>
      </c>
      <c r="D38" t="s">
        <v>63</v>
      </c>
      <c r="E38">
        <v>35</v>
      </c>
      <c r="F38">
        <v>3</v>
      </c>
      <c r="G38">
        <v>8</v>
      </c>
      <c r="H38" t="s">
        <v>63</v>
      </c>
      <c r="I38">
        <v>1</v>
      </c>
      <c r="J38">
        <v>0.777767499967012</v>
      </c>
      <c r="K38" t="s">
        <v>60</v>
      </c>
      <c r="L38">
        <v>8</v>
      </c>
      <c r="M38">
        <v>3</v>
      </c>
      <c r="N38">
        <v>35</v>
      </c>
      <c r="O38">
        <v>3</v>
      </c>
      <c r="P38">
        <v>49.768075799976899</v>
      </c>
      <c r="V38">
        <v>49.756166399980401</v>
      </c>
      <c r="W38">
        <v>49.768075799976899</v>
      </c>
      <c r="X38">
        <v>50.251103499962397</v>
      </c>
      <c r="Y38">
        <v>50.251103499962397</v>
      </c>
      <c r="Z38">
        <v>50.251103499962397</v>
      </c>
      <c r="AA38">
        <v>51.034496799984403</v>
      </c>
      <c r="AB38" t="s">
        <v>63</v>
      </c>
      <c r="AC38">
        <v>1</v>
      </c>
      <c r="AD38">
        <v>0.777767499967012</v>
      </c>
      <c r="AE38" t="s">
        <v>60</v>
      </c>
      <c r="AJ38" t="s">
        <v>1</v>
      </c>
      <c r="AK38">
        <v>1</v>
      </c>
      <c r="AL38" t="s">
        <v>52</v>
      </c>
      <c r="AM38" t="s">
        <v>53</v>
      </c>
      <c r="AO38" t="s">
        <v>54</v>
      </c>
      <c r="AP38">
        <v>60.055407128022601</v>
      </c>
      <c r="AQ38" t="s">
        <v>55</v>
      </c>
    </row>
    <row r="39" spans="1:43" x14ac:dyDescent="0.3">
      <c r="A39" t="s">
        <v>56</v>
      </c>
      <c r="B39" t="s">
        <v>57</v>
      </c>
      <c r="C39" t="s">
        <v>58</v>
      </c>
      <c r="D39" t="s">
        <v>59</v>
      </c>
      <c r="E39">
        <v>36</v>
      </c>
      <c r="F39">
        <v>0</v>
      </c>
      <c r="G39">
        <v>9</v>
      </c>
      <c r="H39" t="s">
        <v>59</v>
      </c>
      <c r="I39">
        <v>1</v>
      </c>
      <c r="J39">
        <v>0.55621339997742303</v>
      </c>
      <c r="K39" t="s">
        <v>60</v>
      </c>
      <c r="L39">
        <v>9</v>
      </c>
      <c r="M39">
        <v>0</v>
      </c>
      <c r="N39">
        <v>36</v>
      </c>
      <c r="O39">
        <v>0</v>
      </c>
      <c r="P39">
        <v>51.050444699998401</v>
      </c>
      <c r="V39">
        <v>51.038352400006197</v>
      </c>
      <c r="W39">
        <v>51.050444699998401</v>
      </c>
      <c r="X39">
        <v>51.533700099971597</v>
      </c>
      <c r="Y39">
        <v>51.533700099971597</v>
      </c>
      <c r="Z39">
        <v>51.533700099971597</v>
      </c>
      <c r="AA39">
        <v>52.100587299966698</v>
      </c>
      <c r="AB39" t="s">
        <v>59</v>
      </c>
      <c r="AC39">
        <v>1</v>
      </c>
      <c r="AD39">
        <v>0.55621339997742303</v>
      </c>
      <c r="AE39" t="s">
        <v>60</v>
      </c>
      <c r="AJ39" t="s">
        <v>1</v>
      </c>
      <c r="AK39">
        <v>1</v>
      </c>
      <c r="AL39" t="s">
        <v>52</v>
      </c>
      <c r="AM39" t="s">
        <v>53</v>
      </c>
      <c r="AO39" t="s">
        <v>54</v>
      </c>
      <c r="AP39">
        <v>60.055407128022601</v>
      </c>
      <c r="AQ39" t="s">
        <v>55</v>
      </c>
    </row>
    <row r="40" spans="1:43" x14ac:dyDescent="0.3">
      <c r="A40" t="s">
        <v>56</v>
      </c>
      <c r="B40" t="s">
        <v>62</v>
      </c>
      <c r="C40" t="s">
        <v>64</v>
      </c>
      <c r="D40" t="s">
        <v>63</v>
      </c>
      <c r="E40">
        <v>37</v>
      </c>
      <c r="F40">
        <v>1</v>
      </c>
      <c r="G40">
        <v>9</v>
      </c>
      <c r="H40" t="s">
        <v>63</v>
      </c>
      <c r="I40">
        <v>1</v>
      </c>
      <c r="J40">
        <v>1.18199180002557</v>
      </c>
      <c r="K40" t="s">
        <v>60</v>
      </c>
      <c r="L40">
        <v>9</v>
      </c>
      <c r="M40">
        <v>1</v>
      </c>
      <c r="N40">
        <v>37</v>
      </c>
      <c r="O40">
        <v>1</v>
      </c>
      <c r="P40">
        <v>52.1164636999601</v>
      </c>
      <c r="V40">
        <v>52.101421899977097</v>
      </c>
      <c r="W40">
        <v>52.1164636999601</v>
      </c>
      <c r="X40">
        <v>52.599605700001099</v>
      </c>
      <c r="Y40">
        <v>52.599605700001099</v>
      </c>
      <c r="Z40">
        <v>52.599605700001099</v>
      </c>
      <c r="AA40">
        <v>53.782996499969101</v>
      </c>
      <c r="AB40" t="s">
        <v>63</v>
      </c>
      <c r="AC40">
        <v>1</v>
      </c>
      <c r="AD40">
        <v>1.18199180002557</v>
      </c>
      <c r="AE40" t="s">
        <v>60</v>
      </c>
      <c r="AJ40" t="s">
        <v>1</v>
      </c>
      <c r="AK40">
        <v>1</v>
      </c>
      <c r="AL40" t="s">
        <v>52</v>
      </c>
      <c r="AM40" t="s">
        <v>53</v>
      </c>
      <c r="AO40" t="s">
        <v>54</v>
      </c>
      <c r="AP40">
        <v>60.055407128022601</v>
      </c>
      <c r="AQ40" t="s">
        <v>55</v>
      </c>
    </row>
    <row r="41" spans="1:43" x14ac:dyDescent="0.3">
      <c r="A41" t="s">
        <v>61</v>
      </c>
      <c r="B41" t="s">
        <v>57</v>
      </c>
      <c r="C41" t="s">
        <v>64</v>
      </c>
      <c r="D41" t="s">
        <v>59</v>
      </c>
      <c r="E41">
        <v>38</v>
      </c>
      <c r="F41">
        <v>2</v>
      </c>
      <c r="G41">
        <v>9</v>
      </c>
      <c r="H41" t="s">
        <v>59</v>
      </c>
      <c r="I41">
        <v>1</v>
      </c>
      <c r="J41">
        <v>0.61318739998387095</v>
      </c>
      <c r="K41" t="s">
        <v>60</v>
      </c>
      <c r="L41">
        <v>9</v>
      </c>
      <c r="M41">
        <v>2</v>
      </c>
      <c r="N41">
        <v>38</v>
      </c>
      <c r="O41">
        <v>2</v>
      </c>
      <c r="P41">
        <v>53.7988635000074</v>
      </c>
      <c r="V41">
        <v>53.787476499972399</v>
      </c>
      <c r="W41">
        <v>53.7988635000074</v>
      </c>
      <c r="X41">
        <v>54.298573300009501</v>
      </c>
      <c r="Y41">
        <v>54.298573300009501</v>
      </c>
      <c r="Z41">
        <v>54.298573300009501</v>
      </c>
      <c r="AA41">
        <v>54.9154954999685</v>
      </c>
      <c r="AB41" t="s">
        <v>59</v>
      </c>
      <c r="AC41">
        <v>1</v>
      </c>
      <c r="AD41">
        <v>0.61318739998387095</v>
      </c>
      <c r="AE41" t="s">
        <v>60</v>
      </c>
      <c r="AJ41" t="s">
        <v>1</v>
      </c>
      <c r="AK41">
        <v>1</v>
      </c>
      <c r="AL41" t="s">
        <v>52</v>
      </c>
      <c r="AM41" t="s">
        <v>53</v>
      </c>
      <c r="AO41" t="s">
        <v>54</v>
      </c>
      <c r="AP41">
        <v>60.055407128022601</v>
      </c>
      <c r="AQ41" t="s">
        <v>55</v>
      </c>
    </row>
    <row r="42" spans="1:43" x14ac:dyDescent="0.3">
      <c r="A42" t="s">
        <v>61</v>
      </c>
      <c r="B42" t="s">
        <v>62</v>
      </c>
      <c r="C42" t="s">
        <v>58</v>
      </c>
      <c r="D42" t="s">
        <v>63</v>
      </c>
      <c r="E42">
        <v>39</v>
      </c>
      <c r="F42">
        <v>3</v>
      </c>
      <c r="G42">
        <v>9</v>
      </c>
      <c r="H42" t="s">
        <v>63</v>
      </c>
      <c r="I42">
        <v>1</v>
      </c>
      <c r="J42">
        <v>0.732494099996984</v>
      </c>
      <c r="K42" t="s">
        <v>60</v>
      </c>
      <c r="L42">
        <v>9</v>
      </c>
      <c r="M42">
        <v>3</v>
      </c>
      <c r="N42">
        <v>39</v>
      </c>
      <c r="O42">
        <v>3</v>
      </c>
      <c r="P42">
        <v>54.931476099998598</v>
      </c>
      <c r="V42">
        <v>54.916339299990703</v>
      </c>
      <c r="W42">
        <v>54.931476099998598</v>
      </c>
      <c r="X42">
        <v>55.431245999992797</v>
      </c>
      <c r="Y42">
        <v>55.431245999992797</v>
      </c>
      <c r="Z42">
        <v>55.431245999992797</v>
      </c>
      <c r="AA42">
        <v>56.165030599979197</v>
      </c>
      <c r="AB42" t="s">
        <v>63</v>
      </c>
      <c r="AC42">
        <v>1</v>
      </c>
      <c r="AD42">
        <v>0.732494099996984</v>
      </c>
      <c r="AE42" t="s">
        <v>60</v>
      </c>
      <c r="AJ42" t="s">
        <v>1</v>
      </c>
      <c r="AK42">
        <v>1</v>
      </c>
      <c r="AL42" t="s">
        <v>52</v>
      </c>
      <c r="AM42" t="s">
        <v>53</v>
      </c>
      <c r="AO42" t="s">
        <v>54</v>
      </c>
      <c r="AP42">
        <v>60.055407128022601</v>
      </c>
      <c r="AQ42" t="s">
        <v>55</v>
      </c>
    </row>
    <row r="43" spans="1:43" x14ac:dyDescent="0.3">
      <c r="AF43">
        <v>56.165246599994099</v>
      </c>
      <c r="AG43">
        <v>56.1807775999768</v>
      </c>
      <c r="AH43">
        <v>57.180151899985503</v>
      </c>
      <c r="AI43">
        <v>57.1639320999966</v>
      </c>
      <c r="AJ43" t="s">
        <v>1</v>
      </c>
      <c r="AK43">
        <v>1</v>
      </c>
      <c r="AL43" t="s">
        <v>52</v>
      </c>
      <c r="AM43" t="s">
        <v>53</v>
      </c>
      <c r="AO43" t="s">
        <v>54</v>
      </c>
      <c r="AP43">
        <v>60.055407128022601</v>
      </c>
      <c r="AQ43" t="s">
        <v>55</v>
      </c>
    </row>
    <row r="45" spans="1:43" x14ac:dyDescent="0.3">
      <c r="A45" t="s">
        <v>65</v>
      </c>
      <c r="B45" s="1">
        <f>AVERAGEIF(C3:C42,"C",J3:J42)</f>
        <v>0.74675387500319512</v>
      </c>
    </row>
    <row r="46" spans="1:43" x14ac:dyDescent="0.3">
      <c r="A46" t="s">
        <v>66</v>
      </c>
      <c r="B46" s="1">
        <f>AVERAGEIF(C3:C42,"I",J3:J42)</f>
        <v>0.98408227500330836</v>
      </c>
    </row>
    <row r="47" spans="1:43" x14ac:dyDescent="0.3">
      <c r="A47" t="s">
        <v>8</v>
      </c>
      <c r="B47" s="1">
        <f>B46-B45</f>
        <v>0.23732840000011324</v>
      </c>
    </row>
    <row r="49" spans="1:2" x14ac:dyDescent="0.3">
      <c r="A49" t="s">
        <v>67</v>
      </c>
      <c r="B49" s="1">
        <f>_xlfn.STDEV.S([1]Sheet1!A3:A22)</f>
        <v>0.22882333486528553</v>
      </c>
    </row>
    <row r="50" spans="1:2" x14ac:dyDescent="0.3">
      <c r="A50" t="s">
        <v>68</v>
      </c>
      <c r="B50" s="1">
        <f>_xlfn.STDEV.S([1]Sheet1!B3:B22)</f>
        <v>0.4224605289785725</v>
      </c>
    </row>
    <row r="53" spans="1:2" x14ac:dyDescent="0.3">
      <c r="A53" t="s">
        <v>69</v>
      </c>
      <c r="B53" t="s">
        <v>70</v>
      </c>
    </row>
    <row r="54" spans="1:2" x14ac:dyDescent="0.3">
      <c r="A54" t="s">
        <v>71</v>
      </c>
      <c r="B54" t="s">
        <v>71</v>
      </c>
    </row>
    <row r="55" spans="1:2" x14ac:dyDescent="0.3">
      <c r="A55">
        <v>1.35248620004858</v>
      </c>
      <c r="B55">
        <v>1.3906622999929801</v>
      </c>
    </row>
    <row r="56" spans="1:2" x14ac:dyDescent="0.3">
      <c r="A56">
        <v>0.60947209998266705</v>
      </c>
      <c r="B56">
        <v>1.24367999995592</v>
      </c>
    </row>
    <row r="57" spans="1:2" x14ac:dyDescent="0.3">
      <c r="A57">
        <v>1.11290519998874</v>
      </c>
      <c r="B57">
        <v>0.887402100022882</v>
      </c>
    </row>
    <row r="58" spans="1:2" x14ac:dyDescent="0.3">
      <c r="A58">
        <v>0.93396029999712404</v>
      </c>
      <c r="B58">
        <v>1.12753440003143</v>
      </c>
    </row>
    <row r="59" spans="1:2" x14ac:dyDescent="0.3">
      <c r="A59">
        <v>0.70729490002850004</v>
      </c>
      <c r="B59">
        <v>1.78584250004496</v>
      </c>
    </row>
    <row r="60" spans="1:2" x14ac:dyDescent="0.3">
      <c r="A60">
        <v>0.56358740001451202</v>
      </c>
      <c r="B60">
        <v>0.78050910000456497</v>
      </c>
    </row>
    <row r="61" spans="1:2" x14ac:dyDescent="0.3">
      <c r="A61">
        <v>0.65142940002260696</v>
      </c>
      <c r="B61">
        <v>0.80829979997361001</v>
      </c>
    </row>
    <row r="62" spans="1:2" x14ac:dyDescent="0.3">
      <c r="A62">
        <v>0.50623880000784904</v>
      </c>
      <c r="B62">
        <v>0.63160130003234305</v>
      </c>
    </row>
    <row r="63" spans="1:2" x14ac:dyDescent="0.3">
      <c r="A63">
        <v>0.70841080002719503</v>
      </c>
      <c r="B63">
        <v>0.91569579998031203</v>
      </c>
    </row>
    <row r="64" spans="1:2" x14ac:dyDescent="0.3">
      <c r="A64">
        <v>0.57945689995540295</v>
      </c>
      <c r="B64">
        <v>1.00105329998768</v>
      </c>
    </row>
    <row r="65" spans="1:2" x14ac:dyDescent="0.3">
      <c r="A65">
        <v>1.2132994999992599</v>
      </c>
      <c r="B65">
        <v>1.1791936000226899</v>
      </c>
    </row>
    <row r="66" spans="1:2" x14ac:dyDescent="0.3">
      <c r="A66">
        <v>0.66709160001482803</v>
      </c>
      <c r="B66">
        <v>0.58538689999841098</v>
      </c>
    </row>
    <row r="67" spans="1:2" x14ac:dyDescent="0.3">
      <c r="A67">
        <v>0.62277850002283197</v>
      </c>
      <c r="B67">
        <v>1.97206880000885</v>
      </c>
    </row>
    <row r="68" spans="1:2" x14ac:dyDescent="0.3">
      <c r="A68">
        <v>0.633905999944545</v>
      </c>
      <c r="B68">
        <v>1.3825584000442099</v>
      </c>
    </row>
    <row r="69" spans="1:2" x14ac:dyDescent="0.3">
      <c r="A69">
        <v>0.68107450002571501</v>
      </c>
      <c r="B69">
        <v>0.49114599998574698</v>
      </c>
    </row>
    <row r="70" spans="1:2" x14ac:dyDescent="0.3">
      <c r="A70">
        <v>0.64829590002773296</v>
      </c>
      <c r="B70">
        <v>0.56310939998365905</v>
      </c>
    </row>
    <row r="71" spans="1:2" x14ac:dyDescent="0.3">
      <c r="A71">
        <v>0.67691450001439002</v>
      </c>
      <c r="B71">
        <v>0.65036139998119302</v>
      </c>
    </row>
    <row r="72" spans="1:2" x14ac:dyDescent="0.3">
      <c r="A72">
        <v>0.777767499967012</v>
      </c>
      <c r="B72">
        <v>0.49036120000528099</v>
      </c>
    </row>
    <row r="73" spans="1:2" x14ac:dyDescent="0.3">
      <c r="A73">
        <v>0.55621339997742303</v>
      </c>
      <c r="B73">
        <v>1.18199180002557</v>
      </c>
    </row>
    <row r="74" spans="1:2" x14ac:dyDescent="0.3">
      <c r="A74">
        <v>0.732494099996984</v>
      </c>
      <c r="B74">
        <v>0.61318739998387095</v>
      </c>
    </row>
    <row r="76" spans="1:2" x14ac:dyDescent="0.3">
      <c r="A76" t="s">
        <v>72</v>
      </c>
    </row>
    <row r="77" spans="1:2" x14ac:dyDescent="0.3">
      <c r="A77" s="1">
        <f>_xlfn.T.TEST(A55:A74,B55:B74, 2, 1)</f>
        <v>2.7571323113427158E-2</v>
      </c>
      <c r="B77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8A328-590D-4857-B459-7E9B36BBC570}">
  <dimension ref="A1:AQ74"/>
  <sheetViews>
    <sheetView topLeftCell="A39" workbookViewId="0">
      <selection activeCell="D49" sqref="D49"/>
    </sheetView>
  </sheetViews>
  <sheetFormatPr defaultRowHeight="14.4" x14ac:dyDescent="0.3"/>
  <cols>
    <col min="1" max="1" width="14" bestFit="1" customWidth="1"/>
    <col min="2" max="2" width="12" bestFit="1" customWidth="1"/>
  </cols>
  <sheetData>
    <row r="1" spans="1:43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 x14ac:dyDescent="0.3">
      <c r="R2">
        <v>1.25520001165568E-3</v>
      </c>
      <c r="S2">
        <v>3.1143000232987102E-3</v>
      </c>
      <c r="T2">
        <v>1.05328799999551</v>
      </c>
      <c r="U2">
        <v>0.98757900000782595</v>
      </c>
      <c r="AJ2" t="s">
        <v>2</v>
      </c>
      <c r="AK2">
        <v>1</v>
      </c>
      <c r="AL2" t="s">
        <v>74</v>
      </c>
      <c r="AM2" t="s">
        <v>53</v>
      </c>
      <c r="AO2" t="s">
        <v>54</v>
      </c>
      <c r="AP2">
        <v>59.988758090968503</v>
      </c>
      <c r="AQ2" t="s">
        <v>75</v>
      </c>
    </row>
    <row r="3" spans="1:43" x14ac:dyDescent="0.3">
      <c r="A3" t="s">
        <v>56</v>
      </c>
      <c r="B3" t="s">
        <v>57</v>
      </c>
      <c r="C3" t="s">
        <v>58</v>
      </c>
      <c r="D3" t="s">
        <v>59</v>
      </c>
      <c r="E3">
        <v>0</v>
      </c>
      <c r="F3">
        <v>0</v>
      </c>
      <c r="G3">
        <v>0</v>
      </c>
      <c r="H3" t="s">
        <v>59</v>
      </c>
      <c r="I3">
        <v>1</v>
      </c>
      <c r="J3">
        <v>0.92599670001072798</v>
      </c>
      <c r="K3" t="s">
        <v>60</v>
      </c>
      <c r="L3">
        <v>0</v>
      </c>
      <c r="M3">
        <v>0</v>
      </c>
      <c r="N3">
        <v>0</v>
      </c>
      <c r="O3">
        <v>0</v>
      </c>
      <c r="P3">
        <v>1.05328799999551</v>
      </c>
      <c r="V3">
        <v>1.04924839996965</v>
      </c>
      <c r="W3">
        <v>1.05328799999551</v>
      </c>
      <c r="X3">
        <v>1.5036084000021199</v>
      </c>
      <c r="Y3">
        <v>1.5036084000021199</v>
      </c>
      <c r="Z3">
        <v>1.5036084000021199</v>
      </c>
      <c r="AA3">
        <v>2.4449472000123902</v>
      </c>
      <c r="AB3" t="s">
        <v>59</v>
      </c>
      <c r="AC3">
        <v>1</v>
      </c>
      <c r="AD3">
        <v>0.92599670001072798</v>
      </c>
      <c r="AE3" t="s">
        <v>60</v>
      </c>
      <c r="AJ3" t="s">
        <v>2</v>
      </c>
      <c r="AK3">
        <v>1</v>
      </c>
      <c r="AL3" t="s">
        <v>74</v>
      </c>
      <c r="AM3" t="s">
        <v>53</v>
      </c>
      <c r="AO3" t="s">
        <v>54</v>
      </c>
      <c r="AP3">
        <v>59.988758090968503</v>
      </c>
      <c r="AQ3" t="s">
        <v>75</v>
      </c>
    </row>
    <row r="4" spans="1:43" x14ac:dyDescent="0.3">
      <c r="A4" t="s">
        <v>61</v>
      </c>
      <c r="B4" t="s">
        <v>57</v>
      </c>
      <c r="C4" t="s">
        <v>64</v>
      </c>
      <c r="D4" t="s">
        <v>59</v>
      </c>
      <c r="E4">
        <v>1</v>
      </c>
      <c r="F4">
        <v>1</v>
      </c>
      <c r="G4">
        <v>0</v>
      </c>
      <c r="H4" t="s">
        <v>59</v>
      </c>
      <c r="I4">
        <v>1</v>
      </c>
      <c r="J4">
        <v>0.93259140005102303</v>
      </c>
      <c r="K4" t="s">
        <v>60</v>
      </c>
      <c r="L4">
        <v>0</v>
      </c>
      <c r="M4">
        <v>1</v>
      </c>
      <c r="N4">
        <v>1</v>
      </c>
      <c r="O4">
        <v>2</v>
      </c>
      <c r="P4">
        <v>2.4529137000208698</v>
      </c>
      <c r="V4">
        <v>2.4489029999822298</v>
      </c>
      <c r="W4">
        <v>2.4529137000208698</v>
      </c>
      <c r="X4">
        <v>2.9528226999682299</v>
      </c>
      <c r="Y4">
        <v>2.9528226999682299</v>
      </c>
      <c r="Z4">
        <v>2.9528226999682299</v>
      </c>
      <c r="AA4">
        <v>3.8866368000162699</v>
      </c>
      <c r="AB4" t="s">
        <v>59</v>
      </c>
      <c r="AC4">
        <v>1</v>
      </c>
      <c r="AD4">
        <v>0.93259140005102303</v>
      </c>
      <c r="AE4" t="s">
        <v>60</v>
      </c>
      <c r="AJ4" t="s">
        <v>2</v>
      </c>
      <c r="AK4">
        <v>1</v>
      </c>
      <c r="AL4" t="s">
        <v>74</v>
      </c>
      <c r="AM4" t="s">
        <v>53</v>
      </c>
      <c r="AO4" t="s">
        <v>54</v>
      </c>
      <c r="AP4">
        <v>59.988758090968503</v>
      </c>
      <c r="AQ4" t="s">
        <v>75</v>
      </c>
    </row>
    <row r="5" spans="1:43" x14ac:dyDescent="0.3">
      <c r="A5" t="s">
        <v>61</v>
      </c>
      <c r="B5" t="s">
        <v>62</v>
      </c>
      <c r="C5" t="s">
        <v>58</v>
      </c>
      <c r="D5" t="s">
        <v>63</v>
      </c>
      <c r="E5">
        <v>2</v>
      </c>
      <c r="F5">
        <v>2</v>
      </c>
      <c r="G5">
        <v>0</v>
      </c>
      <c r="H5" t="s">
        <v>63</v>
      </c>
      <c r="I5">
        <v>1</v>
      </c>
      <c r="J5">
        <v>0.77713190001668397</v>
      </c>
      <c r="K5" t="s">
        <v>60</v>
      </c>
      <c r="L5">
        <v>0</v>
      </c>
      <c r="M5">
        <v>2</v>
      </c>
      <c r="N5">
        <v>2</v>
      </c>
      <c r="O5">
        <v>3</v>
      </c>
      <c r="P5">
        <v>3.9024564999854099</v>
      </c>
      <c r="V5">
        <v>3.8874543000128998</v>
      </c>
      <c r="W5">
        <v>3.9024564999854099</v>
      </c>
      <c r="X5">
        <v>4.3856882000109101</v>
      </c>
      <c r="Y5">
        <v>4.3856882000109101</v>
      </c>
      <c r="Z5">
        <v>4.3856882000109101</v>
      </c>
      <c r="AA5">
        <v>5.1691864000167698</v>
      </c>
      <c r="AB5" t="s">
        <v>63</v>
      </c>
      <c r="AC5">
        <v>1</v>
      </c>
      <c r="AD5">
        <v>0.77713190001668397</v>
      </c>
      <c r="AE5" t="s">
        <v>60</v>
      </c>
      <c r="AJ5" t="s">
        <v>2</v>
      </c>
      <c r="AK5">
        <v>1</v>
      </c>
      <c r="AL5" t="s">
        <v>74</v>
      </c>
      <c r="AM5" t="s">
        <v>53</v>
      </c>
      <c r="AO5" t="s">
        <v>54</v>
      </c>
      <c r="AP5">
        <v>59.988758090968503</v>
      </c>
      <c r="AQ5" t="s">
        <v>75</v>
      </c>
    </row>
    <row r="6" spans="1:43" x14ac:dyDescent="0.3">
      <c r="A6" t="s">
        <v>56</v>
      </c>
      <c r="B6" t="s">
        <v>62</v>
      </c>
      <c r="C6" t="s">
        <v>64</v>
      </c>
      <c r="D6" t="s">
        <v>63</v>
      </c>
      <c r="E6">
        <v>3</v>
      </c>
      <c r="F6">
        <v>3</v>
      </c>
      <c r="G6">
        <v>0</v>
      </c>
      <c r="H6" t="s">
        <v>63</v>
      </c>
      <c r="I6">
        <v>1</v>
      </c>
      <c r="J6">
        <v>0.70419159997254599</v>
      </c>
      <c r="K6" t="s">
        <v>60</v>
      </c>
      <c r="L6">
        <v>0</v>
      </c>
      <c r="M6">
        <v>3</v>
      </c>
      <c r="N6">
        <v>3</v>
      </c>
      <c r="O6">
        <v>1</v>
      </c>
      <c r="P6">
        <v>5.1851699000108002</v>
      </c>
      <c r="V6">
        <v>5.1735733000095898</v>
      </c>
      <c r="W6">
        <v>5.1851699000108002</v>
      </c>
      <c r="X6">
        <v>5.6848499000188797</v>
      </c>
      <c r="Y6">
        <v>5.6848499000188797</v>
      </c>
      <c r="Z6">
        <v>5.6848499000188797</v>
      </c>
      <c r="AA6">
        <v>6.4016397999948804</v>
      </c>
      <c r="AB6" t="s">
        <v>63</v>
      </c>
      <c r="AC6">
        <v>1</v>
      </c>
      <c r="AD6">
        <v>0.70419159997254599</v>
      </c>
      <c r="AE6" t="s">
        <v>60</v>
      </c>
      <c r="AJ6" t="s">
        <v>2</v>
      </c>
      <c r="AK6">
        <v>1</v>
      </c>
      <c r="AL6" t="s">
        <v>74</v>
      </c>
      <c r="AM6" t="s">
        <v>53</v>
      </c>
      <c r="AO6" t="s">
        <v>54</v>
      </c>
      <c r="AP6">
        <v>59.988758090968503</v>
      </c>
      <c r="AQ6" t="s">
        <v>75</v>
      </c>
    </row>
    <row r="7" spans="1:43" x14ac:dyDescent="0.3">
      <c r="A7" t="s">
        <v>56</v>
      </c>
      <c r="B7" t="s">
        <v>62</v>
      </c>
      <c r="C7" t="s">
        <v>64</v>
      </c>
      <c r="D7" t="s">
        <v>63</v>
      </c>
      <c r="E7">
        <v>4</v>
      </c>
      <c r="F7">
        <v>0</v>
      </c>
      <c r="G7">
        <v>1</v>
      </c>
      <c r="H7" t="s">
        <v>63</v>
      </c>
      <c r="I7">
        <v>1</v>
      </c>
      <c r="J7">
        <v>0.50781590002588906</v>
      </c>
      <c r="K7" t="s">
        <v>60</v>
      </c>
      <c r="L7">
        <v>1</v>
      </c>
      <c r="M7">
        <v>0</v>
      </c>
      <c r="N7">
        <v>4</v>
      </c>
      <c r="O7">
        <v>1</v>
      </c>
      <c r="P7">
        <v>6.4177228999906202</v>
      </c>
      <c r="V7">
        <v>6.4024953999905803</v>
      </c>
      <c r="W7">
        <v>6.4177228999906202</v>
      </c>
      <c r="X7">
        <v>6.9006843999959502</v>
      </c>
      <c r="Y7">
        <v>6.9006843999959502</v>
      </c>
      <c r="Z7">
        <v>6.9006843999959502</v>
      </c>
      <c r="AA7">
        <v>7.4176711000036404</v>
      </c>
      <c r="AB7" t="s">
        <v>63</v>
      </c>
      <c r="AC7">
        <v>1</v>
      </c>
      <c r="AD7">
        <v>0.50781590002588906</v>
      </c>
      <c r="AE7" t="s">
        <v>60</v>
      </c>
      <c r="AJ7" t="s">
        <v>2</v>
      </c>
      <c r="AK7">
        <v>1</v>
      </c>
      <c r="AL7" t="s">
        <v>74</v>
      </c>
      <c r="AM7" t="s">
        <v>53</v>
      </c>
      <c r="AO7" t="s">
        <v>54</v>
      </c>
      <c r="AP7">
        <v>59.988758090968503</v>
      </c>
      <c r="AQ7" t="s">
        <v>75</v>
      </c>
    </row>
    <row r="8" spans="1:43" x14ac:dyDescent="0.3">
      <c r="A8" t="s">
        <v>61</v>
      </c>
      <c r="B8" t="s">
        <v>62</v>
      </c>
      <c r="C8" t="s">
        <v>58</v>
      </c>
      <c r="D8" t="s">
        <v>63</v>
      </c>
      <c r="E8">
        <v>5</v>
      </c>
      <c r="F8">
        <v>1</v>
      </c>
      <c r="G8">
        <v>1</v>
      </c>
      <c r="H8" t="s">
        <v>63</v>
      </c>
      <c r="I8">
        <v>1</v>
      </c>
      <c r="J8">
        <v>0.48745819996111001</v>
      </c>
      <c r="K8" t="s">
        <v>60</v>
      </c>
      <c r="L8">
        <v>1</v>
      </c>
      <c r="M8">
        <v>1</v>
      </c>
      <c r="N8">
        <v>5</v>
      </c>
      <c r="O8">
        <v>3</v>
      </c>
      <c r="P8">
        <v>7.4337642000173201</v>
      </c>
      <c r="V8">
        <v>7.42215629998827</v>
      </c>
      <c r="W8">
        <v>7.4337642000173201</v>
      </c>
      <c r="X8">
        <v>7.9333626999869002</v>
      </c>
      <c r="Y8">
        <v>7.9333626999869002</v>
      </c>
      <c r="Z8">
        <v>7.9333626999869002</v>
      </c>
      <c r="AA8">
        <v>8.4337711000116506</v>
      </c>
      <c r="AB8" t="s">
        <v>63</v>
      </c>
      <c r="AC8">
        <v>1</v>
      </c>
      <c r="AD8">
        <v>0.48745819996111001</v>
      </c>
      <c r="AE8" t="s">
        <v>60</v>
      </c>
      <c r="AJ8" t="s">
        <v>2</v>
      </c>
      <c r="AK8">
        <v>1</v>
      </c>
      <c r="AL8" t="s">
        <v>74</v>
      </c>
      <c r="AM8" t="s">
        <v>53</v>
      </c>
      <c r="AO8" t="s">
        <v>54</v>
      </c>
      <c r="AP8">
        <v>59.988758090968503</v>
      </c>
      <c r="AQ8" t="s">
        <v>75</v>
      </c>
    </row>
    <row r="9" spans="1:43" x14ac:dyDescent="0.3">
      <c r="A9" t="s">
        <v>61</v>
      </c>
      <c r="B9" t="s">
        <v>57</v>
      </c>
      <c r="C9" t="s">
        <v>64</v>
      </c>
      <c r="D9" t="s">
        <v>59</v>
      </c>
      <c r="E9">
        <v>6</v>
      </c>
      <c r="F9">
        <v>2</v>
      </c>
      <c r="G9">
        <v>1</v>
      </c>
      <c r="H9" t="s">
        <v>59</v>
      </c>
      <c r="I9">
        <v>1</v>
      </c>
      <c r="J9">
        <v>0.45985640003345901</v>
      </c>
      <c r="K9" t="s">
        <v>60</v>
      </c>
      <c r="L9">
        <v>1</v>
      </c>
      <c r="M9">
        <v>2</v>
      </c>
      <c r="N9">
        <v>6</v>
      </c>
      <c r="O9">
        <v>2</v>
      </c>
      <c r="P9">
        <v>8.4497125999769196</v>
      </c>
      <c r="V9">
        <v>8.4347033000085503</v>
      </c>
      <c r="W9">
        <v>8.4497125999769196</v>
      </c>
      <c r="X9">
        <v>8.9492110999999497</v>
      </c>
      <c r="Y9">
        <v>8.9492110999999497</v>
      </c>
      <c r="Z9">
        <v>8.9492110999999497</v>
      </c>
      <c r="AA9">
        <v>9.4164479000028205</v>
      </c>
      <c r="AB9" t="s">
        <v>59</v>
      </c>
      <c r="AC9">
        <v>1</v>
      </c>
      <c r="AD9">
        <v>0.45985640003345901</v>
      </c>
      <c r="AE9" t="s">
        <v>60</v>
      </c>
      <c r="AJ9" t="s">
        <v>2</v>
      </c>
      <c r="AK9">
        <v>1</v>
      </c>
      <c r="AL9" t="s">
        <v>74</v>
      </c>
      <c r="AM9" t="s">
        <v>53</v>
      </c>
      <c r="AO9" t="s">
        <v>54</v>
      </c>
      <c r="AP9">
        <v>59.988758090968503</v>
      </c>
      <c r="AQ9" t="s">
        <v>75</v>
      </c>
    </row>
    <row r="10" spans="1:43" x14ac:dyDescent="0.3">
      <c r="A10" t="s">
        <v>56</v>
      </c>
      <c r="B10" t="s">
        <v>57</v>
      </c>
      <c r="C10" t="s">
        <v>58</v>
      </c>
      <c r="D10" t="s">
        <v>59</v>
      </c>
      <c r="E10">
        <v>7</v>
      </c>
      <c r="F10">
        <v>3</v>
      </c>
      <c r="G10">
        <v>1</v>
      </c>
      <c r="H10" t="s">
        <v>59</v>
      </c>
      <c r="I10">
        <v>1</v>
      </c>
      <c r="J10">
        <v>0.40611829998670101</v>
      </c>
      <c r="K10" t="s">
        <v>60</v>
      </c>
      <c r="L10">
        <v>1</v>
      </c>
      <c r="M10">
        <v>3</v>
      </c>
      <c r="N10">
        <v>7</v>
      </c>
      <c r="O10">
        <v>0</v>
      </c>
      <c r="P10">
        <v>9.4322746999678202</v>
      </c>
      <c r="V10">
        <v>9.4204482000204699</v>
      </c>
      <c r="W10">
        <v>9.4322746999678202</v>
      </c>
      <c r="X10">
        <v>9.9321064000250701</v>
      </c>
      <c r="Y10">
        <v>9.9321064000250701</v>
      </c>
      <c r="Z10">
        <v>9.9321064000250701</v>
      </c>
      <c r="AA10">
        <v>10.349325600021899</v>
      </c>
      <c r="AB10" t="s">
        <v>59</v>
      </c>
      <c r="AC10">
        <v>1</v>
      </c>
      <c r="AD10">
        <v>0.40611829998670101</v>
      </c>
      <c r="AE10" t="s">
        <v>60</v>
      </c>
      <c r="AJ10" t="s">
        <v>2</v>
      </c>
      <c r="AK10">
        <v>1</v>
      </c>
      <c r="AL10" t="s">
        <v>74</v>
      </c>
      <c r="AM10" t="s">
        <v>53</v>
      </c>
      <c r="AO10" t="s">
        <v>54</v>
      </c>
      <c r="AP10">
        <v>59.988758090968503</v>
      </c>
      <c r="AQ10" t="s">
        <v>75</v>
      </c>
    </row>
    <row r="11" spans="1:43" x14ac:dyDescent="0.3">
      <c r="A11" t="s">
        <v>56</v>
      </c>
      <c r="B11" t="s">
        <v>57</v>
      </c>
      <c r="C11" t="s">
        <v>58</v>
      </c>
      <c r="D11" t="s">
        <v>59</v>
      </c>
      <c r="E11">
        <v>8</v>
      </c>
      <c r="F11">
        <v>0</v>
      </c>
      <c r="G11">
        <v>2</v>
      </c>
      <c r="H11" t="s">
        <v>59</v>
      </c>
      <c r="I11">
        <v>1</v>
      </c>
      <c r="J11">
        <v>0.40331369999330402</v>
      </c>
      <c r="K11" t="s">
        <v>60</v>
      </c>
      <c r="L11">
        <v>2</v>
      </c>
      <c r="M11">
        <v>0</v>
      </c>
      <c r="N11">
        <v>8</v>
      </c>
      <c r="O11">
        <v>0</v>
      </c>
      <c r="P11">
        <v>10.365019800024999</v>
      </c>
      <c r="V11">
        <v>10.350260599981899</v>
      </c>
      <c r="W11">
        <v>10.365019800024999</v>
      </c>
      <c r="X11">
        <v>10.864714799972701</v>
      </c>
      <c r="Y11">
        <v>10.864714799972701</v>
      </c>
      <c r="Z11">
        <v>10.864714799972701</v>
      </c>
      <c r="AA11">
        <v>11.2818637000164</v>
      </c>
      <c r="AB11" t="s">
        <v>59</v>
      </c>
      <c r="AC11">
        <v>1</v>
      </c>
      <c r="AD11">
        <v>0.40331369999330402</v>
      </c>
      <c r="AE11" t="s">
        <v>60</v>
      </c>
      <c r="AJ11" t="s">
        <v>2</v>
      </c>
      <c r="AK11">
        <v>1</v>
      </c>
      <c r="AL11" t="s">
        <v>74</v>
      </c>
      <c r="AM11" t="s">
        <v>53</v>
      </c>
      <c r="AO11" t="s">
        <v>54</v>
      </c>
      <c r="AP11">
        <v>59.988758090968503</v>
      </c>
      <c r="AQ11" t="s">
        <v>75</v>
      </c>
    </row>
    <row r="12" spans="1:43" x14ac:dyDescent="0.3">
      <c r="A12" t="s">
        <v>61</v>
      </c>
      <c r="B12" t="s">
        <v>57</v>
      </c>
      <c r="C12" t="s">
        <v>64</v>
      </c>
      <c r="D12" t="s">
        <v>59</v>
      </c>
      <c r="E12">
        <v>9</v>
      </c>
      <c r="F12">
        <v>1</v>
      </c>
      <c r="G12">
        <v>2</v>
      </c>
      <c r="H12" t="s">
        <v>63</v>
      </c>
      <c r="I12">
        <v>0</v>
      </c>
      <c r="J12">
        <v>0.50047579995589297</v>
      </c>
      <c r="K12" t="s">
        <v>60</v>
      </c>
      <c r="L12">
        <v>2</v>
      </c>
      <c r="M12">
        <v>1</v>
      </c>
      <c r="N12">
        <v>9</v>
      </c>
      <c r="O12">
        <v>2</v>
      </c>
      <c r="P12">
        <v>11.2978147999965</v>
      </c>
      <c r="V12">
        <v>11.287437699967899</v>
      </c>
      <c r="W12">
        <v>11.2978147999965</v>
      </c>
      <c r="X12">
        <v>11.781021800008601</v>
      </c>
      <c r="Y12">
        <v>11.781021800008601</v>
      </c>
      <c r="Z12">
        <v>11.781021800008601</v>
      </c>
      <c r="AA12">
        <v>12.297908700013</v>
      </c>
      <c r="AB12" t="s">
        <v>63</v>
      </c>
      <c r="AC12">
        <v>0</v>
      </c>
      <c r="AD12">
        <v>0.50047579995589297</v>
      </c>
      <c r="AE12" t="s">
        <v>60</v>
      </c>
      <c r="AJ12" t="s">
        <v>2</v>
      </c>
      <c r="AK12">
        <v>1</v>
      </c>
      <c r="AL12" t="s">
        <v>74</v>
      </c>
      <c r="AM12" t="s">
        <v>53</v>
      </c>
      <c r="AO12" t="s">
        <v>54</v>
      </c>
      <c r="AP12">
        <v>59.988758090968503</v>
      </c>
      <c r="AQ12" t="s">
        <v>75</v>
      </c>
    </row>
    <row r="13" spans="1:43" x14ac:dyDescent="0.3">
      <c r="A13" t="s">
        <v>56</v>
      </c>
      <c r="B13" t="s">
        <v>62</v>
      </c>
      <c r="C13" t="s">
        <v>64</v>
      </c>
      <c r="D13" t="s">
        <v>63</v>
      </c>
      <c r="E13">
        <v>10</v>
      </c>
      <c r="F13">
        <v>2</v>
      </c>
      <c r="G13">
        <v>2</v>
      </c>
      <c r="H13" t="s">
        <v>63</v>
      </c>
      <c r="I13">
        <v>1</v>
      </c>
      <c r="J13">
        <v>0.73561749997315895</v>
      </c>
      <c r="K13" t="s">
        <v>60</v>
      </c>
      <c r="L13">
        <v>2</v>
      </c>
      <c r="M13">
        <v>2</v>
      </c>
      <c r="N13">
        <v>10</v>
      </c>
      <c r="O13">
        <v>1</v>
      </c>
      <c r="P13">
        <v>12.313882299989899</v>
      </c>
      <c r="V13">
        <v>12.302201099984799</v>
      </c>
      <c r="W13">
        <v>12.313882299989899</v>
      </c>
      <c r="X13">
        <v>12.8136379999923</v>
      </c>
      <c r="Y13">
        <v>12.8136379999923</v>
      </c>
      <c r="Z13">
        <v>12.8136379999923</v>
      </c>
      <c r="AA13">
        <v>13.563700800004799</v>
      </c>
      <c r="AB13" t="s">
        <v>63</v>
      </c>
      <c r="AC13">
        <v>1</v>
      </c>
      <c r="AD13">
        <v>0.73561749997315895</v>
      </c>
      <c r="AE13" t="s">
        <v>60</v>
      </c>
      <c r="AJ13" t="s">
        <v>2</v>
      </c>
      <c r="AK13">
        <v>1</v>
      </c>
      <c r="AL13" t="s">
        <v>74</v>
      </c>
      <c r="AM13" t="s">
        <v>53</v>
      </c>
      <c r="AO13" t="s">
        <v>54</v>
      </c>
      <c r="AP13">
        <v>59.988758090968503</v>
      </c>
      <c r="AQ13" t="s">
        <v>75</v>
      </c>
    </row>
    <row r="14" spans="1:43" x14ac:dyDescent="0.3">
      <c r="A14" t="s">
        <v>61</v>
      </c>
      <c r="B14" t="s">
        <v>62</v>
      </c>
      <c r="C14" t="s">
        <v>58</v>
      </c>
      <c r="D14" t="s">
        <v>63</v>
      </c>
      <c r="E14">
        <v>11</v>
      </c>
      <c r="F14">
        <v>3</v>
      </c>
      <c r="G14">
        <v>2</v>
      </c>
      <c r="H14" t="s">
        <v>63</v>
      </c>
      <c r="I14">
        <v>1</v>
      </c>
      <c r="J14">
        <v>0.54092870000749804</v>
      </c>
      <c r="K14" t="s">
        <v>60</v>
      </c>
      <c r="L14">
        <v>2</v>
      </c>
      <c r="M14">
        <v>3</v>
      </c>
      <c r="N14">
        <v>11</v>
      </c>
      <c r="O14">
        <v>3</v>
      </c>
      <c r="P14">
        <v>13.5796613999991</v>
      </c>
      <c r="V14">
        <v>13.5679995000245</v>
      </c>
      <c r="W14">
        <v>13.5796613999991</v>
      </c>
      <c r="X14">
        <v>14.0628604000085</v>
      </c>
      <c r="Y14">
        <v>14.0628604000085</v>
      </c>
      <c r="Z14">
        <v>14.0628604000085</v>
      </c>
      <c r="AA14">
        <v>14.613167100003899</v>
      </c>
      <c r="AB14" t="s">
        <v>63</v>
      </c>
      <c r="AC14">
        <v>1</v>
      </c>
      <c r="AD14">
        <v>0.54092870000749804</v>
      </c>
      <c r="AE14" t="s">
        <v>60</v>
      </c>
      <c r="AJ14" t="s">
        <v>2</v>
      </c>
      <c r="AK14">
        <v>1</v>
      </c>
      <c r="AL14" t="s">
        <v>74</v>
      </c>
      <c r="AM14" t="s">
        <v>53</v>
      </c>
      <c r="AO14" t="s">
        <v>54</v>
      </c>
      <c r="AP14">
        <v>59.988758090968503</v>
      </c>
      <c r="AQ14" t="s">
        <v>75</v>
      </c>
    </row>
    <row r="15" spans="1:43" x14ac:dyDescent="0.3">
      <c r="A15" t="s">
        <v>61</v>
      </c>
      <c r="B15" t="s">
        <v>62</v>
      </c>
      <c r="C15" t="s">
        <v>58</v>
      </c>
      <c r="D15" t="s">
        <v>63</v>
      </c>
      <c r="E15">
        <v>12</v>
      </c>
      <c r="F15">
        <v>0</v>
      </c>
      <c r="G15">
        <v>3</v>
      </c>
      <c r="H15" t="s">
        <v>63</v>
      </c>
      <c r="I15">
        <v>1</v>
      </c>
      <c r="J15">
        <v>0.49547119997441702</v>
      </c>
      <c r="K15" t="s">
        <v>60</v>
      </c>
      <c r="L15">
        <v>3</v>
      </c>
      <c r="M15">
        <v>0</v>
      </c>
      <c r="N15">
        <v>12</v>
      </c>
      <c r="O15">
        <v>3</v>
      </c>
      <c r="P15">
        <v>14.6292006999719</v>
      </c>
      <c r="V15">
        <v>14.6140794000239</v>
      </c>
      <c r="W15">
        <v>14.6292006999719</v>
      </c>
      <c r="X15">
        <v>15.128694500017399</v>
      </c>
      <c r="Y15">
        <v>15.128694500017399</v>
      </c>
      <c r="Z15">
        <v>15.128694500017399</v>
      </c>
      <c r="AA15">
        <v>15.6290716999792</v>
      </c>
      <c r="AB15" t="s">
        <v>63</v>
      </c>
      <c r="AC15">
        <v>1</v>
      </c>
      <c r="AD15">
        <v>0.49547119997441702</v>
      </c>
      <c r="AE15" t="s">
        <v>60</v>
      </c>
      <c r="AJ15" t="s">
        <v>2</v>
      </c>
      <c r="AK15">
        <v>1</v>
      </c>
      <c r="AL15" t="s">
        <v>74</v>
      </c>
      <c r="AM15" t="s">
        <v>53</v>
      </c>
      <c r="AO15" t="s">
        <v>54</v>
      </c>
      <c r="AP15">
        <v>59.988758090968503</v>
      </c>
      <c r="AQ15" t="s">
        <v>75</v>
      </c>
    </row>
    <row r="16" spans="1:43" x14ac:dyDescent="0.3">
      <c r="A16" t="s">
        <v>61</v>
      </c>
      <c r="B16" t="s">
        <v>57</v>
      </c>
      <c r="C16" t="s">
        <v>64</v>
      </c>
      <c r="D16" t="s">
        <v>59</v>
      </c>
      <c r="E16">
        <v>13</v>
      </c>
      <c r="F16">
        <v>1</v>
      </c>
      <c r="G16">
        <v>3</v>
      </c>
      <c r="H16" t="s">
        <v>59</v>
      </c>
      <c r="I16">
        <v>1</v>
      </c>
      <c r="J16">
        <v>0.61870890000136503</v>
      </c>
      <c r="K16" t="s">
        <v>60</v>
      </c>
      <c r="L16">
        <v>3</v>
      </c>
      <c r="M16">
        <v>1</v>
      </c>
      <c r="N16">
        <v>13</v>
      </c>
      <c r="O16">
        <v>2</v>
      </c>
      <c r="P16">
        <v>15.6451474999776</v>
      </c>
      <c r="V16">
        <v>15.629999900003799</v>
      </c>
      <c r="W16">
        <v>15.6451474999776</v>
      </c>
      <c r="X16">
        <v>16.128145299968299</v>
      </c>
      <c r="Y16">
        <v>16.128145299968299</v>
      </c>
      <c r="Z16">
        <v>16.128145299968299</v>
      </c>
      <c r="AA16">
        <v>16.761838699982</v>
      </c>
      <c r="AB16" t="s">
        <v>59</v>
      </c>
      <c r="AC16">
        <v>1</v>
      </c>
      <c r="AD16">
        <v>0.61870890000136503</v>
      </c>
      <c r="AE16" t="s">
        <v>60</v>
      </c>
      <c r="AJ16" t="s">
        <v>2</v>
      </c>
      <c r="AK16">
        <v>1</v>
      </c>
      <c r="AL16" t="s">
        <v>74</v>
      </c>
      <c r="AM16" t="s">
        <v>53</v>
      </c>
      <c r="AO16" t="s">
        <v>54</v>
      </c>
      <c r="AP16">
        <v>59.988758090968503</v>
      </c>
      <c r="AQ16" t="s">
        <v>75</v>
      </c>
    </row>
    <row r="17" spans="1:43" x14ac:dyDescent="0.3">
      <c r="A17" t="s">
        <v>56</v>
      </c>
      <c r="B17" t="s">
        <v>57</v>
      </c>
      <c r="C17" t="s">
        <v>58</v>
      </c>
      <c r="D17" t="s">
        <v>59</v>
      </c>
      <c r="E17">
        <v>14</v>
      </c>
      <c r="F17">
        <v>2</v>
      </c>
      <c r="G17">
        <v>3</v>
      </c>
      <c r="H17" t="s">
        <v>59</v>
      </c>
      <c r="I17">
        <v>1</v>
      </c>
      <c r="J17">
        <v>1.1467931999941301</v>
      </c>
      <c r="K17" t="s">
        <v>60</v>
      </c>
      <c r="L17">
        <v>3</v>
      </c>
      <c r="M17">
        <v>2</v>
      </c>
      <c r="N17">
        <v>14</v>
      </c>
      <c r="O17">
        <v>0</v>
      </c>
      <c r="P17">
        <v>16.777740399993402</v>
      </c>
      <c r="V17">
        <v>16.7690587000106</v>
      </c>
      <c r="W17">
        <v>16.777740399993402</v>
      </c>
      <c r="X17">
        <v>17.2774581999983</v>
      </c>
      <c r="Y17">
        <v>17.2774581999983</v>
      </c>
      <c r="Z17">
        <v>17.2774581999983</v>
      </c>
      <c r="AA17">
        <v>18.427278899995098</v>
      </c>
      <c r="AB17" t="s">
        <v>59</v>
      </c>
      <c r="AC17">
        <v>1</v>
      </c>
      <c r="AD17">
        <v>1.1467931999941301</v>
      </c>
      <c r="AE17" t="s">
        <v>60</v>
      </c>
      <c r="AJ17" t="s">
        <v>2</v>
      </c>
      <c r="AK17">
        <v>1</v>
      </c>
      <c r="AL17" t="s">
        <v>74</v>
      </c>
      <c r="AM17" t="s">
        <v>53</v>
      </c>
      <c r="AO17" t="s">
        <v>54</v>
      </c>
      <c r="AP17">
        <v>59.988758090968503</v>
      </c>
      <c r="AQ17" t="s">
        <v>75</v>
      </c>
    </row>
    <row r="18" spans="1:43" x14ac:dyDescent="0.3">
      <c r="A18" t="s">
        <v>56</v>
      </c>
      <c r="B18" t="s">
        <v>62</v>
      </c>
      <c r="C18" t="s">
        <v>64</v>
      </c>
      <c r="D18" t="s">
        <v>63</v>
      </c>
      <c r="E18">
        <v>15</v>
      </c>
      <c r="F18">
        <v>3</v>
      </c>
      <c r="G18">
        <v>3</v>
      </c>
      <c r="H18" t="s">
        <v>63</v>
      </c>
      <c r="I18">
        <v>1</v>
      </c>
      <c r="J18">
        <v>0.92242319998331301</v>
      </c>
      <c r="K18" t="s">
        <v>60</v>
      </c>
      <c r="L18">
        <v>3</v>
      </c>
      <c r="M18">
        <v>3</v>
      </c>
      <c r="N18">
        <v>15</v>
      </c>
      <c r="O18">
        <v>1</v>
      </c>
      <c r="P18">
        <v>18.443359599972599</v>
      </c>
      <c r="V18">
        <v>18.428205300005999</v>
      </c>
      <c r="W18">
        <v>18.443359599972599</v>
      </c>
      <c r="X18">
        <v>18.926474499981801</v>
      </c>
      <c r="Y18">
        <v>18.926474499981801</v>
      </c>
      <c r="Z18">
        <v>18.926474499981801</v>
      </c>
      <c r="AA18">
        <v>19.859822999976998</v>
      </c>
      <c r="AB18" t="s">
        <v>63</v>
      </c>
      <c r="AC18">
        <v>1</v>
      </c>
      <c r="AD18">
        <v>0.92242319998331301</v>
      </c>
      <c r="AE18" t="s">
        <v>60</v>
      </c>
      <c r="AJ18" t="s">
        <v>2</v>
      </c>
      <c r="AK18">
        <v>1</v>
      </c>
      <c r="AL18" t="s">
        <v>74</v>
      </c>
      <c r="AM18" t="s">
        <v>53</v>
      </c>
      <c r="AO18" t="s">
        <v>54</v>
      </c>
      <c r="AP18">
        <v>59.988758090968503</v>
      </c>
      <c r="AQ18" t="s">
        <v>75</v>
      </c>
    </row>
    <row r="19" spans="1:43" x14ac:dyDescent="0.3">
      <c r="A19" t="s">
        <v>56</v>
      </c>
      <c r="B19" t="s">
        <v>62</v>
      </c>
      <c r="C19" t="s">
        <v>64</v>
      </c>
      <c r="D19" t="s">
        <v>63</v>
      </c>
      <c r="E19">
        <v>16</v>
      </c>
      <c r="F19">
        <v>0</v>
      </c>
      <c r="G19">
        <v>4</v>
      </c>
      <c r="H19" t="s">
        <v>63</v>
      </c>
      <c r="I19">
        <v>1</v>
      </c>
      <c r="J19">
        <v>0.65160850004758597</v>
      </c>
      <c r="K19" t="s">
        <v>60</v>
      </c>
      <c r="L19">
        <v>4</v>
      </c>
      <c r="M19">
        <v>0</v>
      </c>
      <c r="N19">
        <v>16</v>
      </c>
      <c r="O19">
        <v>1</v>
      </c>
      <c r="P19">
        <v>19.875750200008</v>
      </c>
      <c r="V19">
        <v>19.8606965999933</v>
      </c>
      <c r="W19">
        <v>19.875750200008</v>
      </c>
      <c r="X19">
        <v>20.375431799970102</v>
      </c>
      <c r="Y19">
        <v>20.375431799970102</v>
      </c>
      <c r="Z19">
        <v>20.375431799970102</v>
      </c>
      <c r="AA19">
        <v>21.042152000009001</v>
      </c>
      <c r="AB19" t="s">
        <v>63</v>
      </c>
      <c r="AC19">
        <v>1</v>
      </c>
      <c r="AD19">
        <v>0.65160850004758597</v>
      </c>
      <c r="AE19" t="s">
        <v>60</v>
      </c>
      <c r="AJ19" t="s">
        <v>2</v>
      </c>
      <c r="AK19">
        <v>1</v>
      </c>
      <c r="AL19" t="s">
        <v>74</v>
      </c>
      <c r="AM19" t="s">
        <v>53</v>
      </c>
      <c r="AO19" t="s">
        <v>54</v>
      </c>
      <c r="AP19">
        <v>59.988758090968503</v>
      </c>
      <c r="AQ19" t="s">
        <v>75</v>
      </c>
    </row>
    <row r="20" spans="1:43" x14ac:dyDescent="0.3">
      <c r="A20" t="s">
        <v>61</v>
      </c>
      <c r="B20" t="s">
        <v>57</v>
      </c>
      <c r="C20" t="s">
        <v>64</v>
      </c>
      <c r="D20" t="s">
        <v>59</v>
      </c>
      <c r="E20">
        <v>17</v>
      </c>
      <c r="F20">
        <v>1</v>
      </c>
      <c r="G20">
        <v>4</v>
      </c>
      <c r="H20" t="s">
        <v>59</v>
      </c>
      <c r="I20">
        <v>1</v>
      </c>
      <c r="J20">
        <v>0.69954949995735605</v>
      </c>
      <c r="K20" t="s">
        <v>60</v>
      </c>
      <c r="L20">
        <v>4</v>
      </c>
      <c r="M20">
        <v>1</v>
      </c>
      <c r="N20">
        <v>17</v>
      </c>
      <c r="O20">
        <v>2</v>
      </c>
      <c r="P20">
        <v>21.0583512000157</v>
      </c>
      <c r="V20">
        <v>21.0460868999944</v>
      </c>
      <c r="W20">
        <v>21.0583512000157</v>
      </c>
      <c r="X20">
        <v>21.541356200003001</v>
      </c>
      <c r="Y20">
        <v>21.541356200003001</v>
      </c>
      <c r="Z20">
        <v>21.541356200003001</v>
      </c>
      <c r="AA20">
        <v>22.241738000011502</v>
      </c>
      <c r="AB20" t="s">
        <v>59</v>
      </c>
      <c r="AC20">
        <v>1</v>
      </c>
      <c r="AD20">
        <v>0.69954949995735605</v>
      </c>
      <c r="AE20" t="s">
        <v>60</v>
      </c>
      <c r="AJ20" t="s">
        <v>2</v>
      </c>
      <c r="AK20">
        <v>1</v>
      </c>
      <c r="AL20" t="s">
        <v>74</v>
      </c>
      <c r="AM20" t="s">
        <v>53</v>
      </c>
      <c r="AO20" t="s">
        <v>54</v>
      </c>
      <c r="AP20">
        <v>59.988758090968503</v>
      </c>
      <c r="AQ20" t="s">
        <v>75</v>
      </c>
    </row>
    <row r="21" spans="1:43" x14ac:dyDescent="0.3">
      <c r="A21" t="s">
        <v>56</v>
      </c>
      <c r="B21" t="s">
        <v>57</v>
      </c>
      <c r="C21" t="s">
        <v>58</v>
      </c>
      <c r="D21" t="s">
        <v>59</v>
      </c>
      <c r="E21">
        <v>18</v>
      </c>
      <c r="F21">
        <v>2</v>
      </c>
      <c r="G21">
        <v>4</v>
      </c>
      <c r="H21" t="s">
        <v>59</v>
      </c>
      <c r="I21">
        <v>1</v>
      </c>
      <c r="J21">
        <v>0.434467100014444</v>
      </c>
      <c r="K21" t="s">
        <v>60</v>
      </c>
      <c r="L21">
        <v>4</v>
      </c>
      <c r="M21">
        <v>2</v>
      </c>
      <c r="N21">
        <v>18</v>
      </c>
      <c r="O21">
        <v>0</v>
      </c>
      <c r="P21">
        <v>22.257578400021799</v>
      </c>
      <c r="V21">
        <v>22.2484781999955</v>
      </c>
      <c r="W21">
        <v>22.257578400021799</v>
      </c>
      <c r="X21">
        <v>22.757357100024802</v>
      </c>
      <c r="Y21">
        <v>22.757357100024802</v>
      </c>
      <c r="Z21">
        <v>22.757357100024802</v>
      </c>
      <c r="AA21">
        <v>23.207697800011299</v>
      </c>
      <c r="AB21" t="s">
        <v>59</v>
      </c>
      <c r="AC21">
        <v>1</v>
      </c>
      <c r="AD21">
        <v>0.434467100014444</v>
      </c>
      <c r="AE21" t="s">
        <v>60</v>
      </c>
      <c r="AJ21" t="s">
        <v>2</v>
      </c>
      <c r="AK21">
        <v>1</v>
      </c>
      <c r="AL21" t="s">
        <v>74</v>
      </c>
      <c r="AM21" t="s">
        <v>53</v>
      </c>
      <c r="AO21" t="s">
        <v>54</v>
      </c>
      <c r="AP21">
        <v>59.988758090968503</v>
      </c>
      <c r="AQ21" t="s">
        <v>75</v>
      </c>
    </row>
    <row r="22" spans="1:43" x14ac:dyDescent="0.3">
      <c r="A22" t="s">
        <v>61</v>
      </c>
      <c r="B22" t="s">
        <v>62</v>
      </c>
      <c r="C22" t="s">
        <v>58</v>
      </c>
      <c r="D22" t="s">
        <v>63</v>
      </c>
      <c r="E22">
        <v>19</v>
      </c>
      <c r="F22">
        <v>3</v>
      </c>
      <c r="G22">
        <v>4</v>
      </c>
      <c r="H22" t="s">
        <v>63</v>
      </c>
      <c r="I22">
        <v>1</v>
      </c>
      <c r="J22">
        <v>1.0391407000133699</v>
      </c>
      <c r="K22" t="s">
        <v>60</v>
      </c>
      <c r="L22">
        <v>4</v>
      </c>
      <c r="M22">
        <v>3</v>
      </c>
      <c r="N22">
        <v>19</v>
      </c>
      <c r="O22">
        <v>3</v>
      </c>
      <c r="P22">
        <v>23.2236332999891</v>
      </c>
      <c r="V22">
        <v>23.2122399000218</v>
      </c>
      <c r="W22">
        <v>23.2236332999891</v>
      </c>
      <c r="X22">
        <v>23.723424399970099</v>
      </c>
      <c r="Y22">
        <v>23.723424399970099</v>
      </c>
      <c r="Z22">
        <v>23.723424399970099</v>
      </c>
      <c r="AA22">
        <v>24.773307199997301</v>
      </c>
      <c r="AB22" t="s">
        <v>63</v>
      </c>
      <c r="AC22">
        <v>1</v>
      </c>
      <c r="AD22">
        <v>1.0391407000133699</v>
      </c>
      <c r="AE22" t="s">
        <v>60</v>
      </c>
      <c r="AJ22" t="s">
        <v>2</v>
      </c>
      <c r="AK22">
        <v>1</v>
      </c>
      <c r="AL22" t="s">
        <v>74</v>
      </c>
      <c r="AM22" t="s">
        <v>53</v>
      </c>
      <c r="AO22" t="s">
        <v>54</v>
      </c>
      <c r="AP22">
        <v>59.988758090968503</v>
      </c>
      <c r="AQ22" t="s">
        <v>75</v>
      </c>
    </row>
    <row r="23" spans="1:43" x14ac:dyDescent="0.3">
      <c r="A23" t="s">
        <v>56</v>
      </c>
      <c r="B23" t="s">
        <v>57</v>
      </c>
      <c r="C23" t="s">
        <v>58</v>
      </c>
      <c r="D23" t="s">
        <v>59</v>
      </c>
      <c r="E23">
        <v>20</v>
      </c>
      <c r="F23">
        <v>0</v>
      </c>
      <c r="G23">
        <v>5</v>
      </c>
      <c r="H23" t="s">
        <v>59</v>
      </c>
      <c r="I23">
        <v>1</v>
      </c>
      <c r="J23">
        <v>0.65679259999887996</v>
      </c>
      <c r="K23" t="s">
        <v>60</v>
      </c>
      <c r="L23">
        <v>5</v>
      </c>
      <c r="M23">
        <v>0</v>
      </c>
      <c r="N23">
        <v>20</v>
      </c>
      <c r="O23">
        <v>0</v>
      </c>
      <c r="P23">
        <v>24.789364199968901</v>
      </c>
      <c r="V23">
        <v>24.777874200022701</v>
      </c>
      <c r="W23">
        <v>24.789364199968901</v>
      </c>
      <c r="X23">
        <v>25.272280899982398</v>
      </c>
      <c r="Y23">
        <v>25.272280899982398</v>
      </c>
      <c r="Z23">
        <v>25.272280899982398</v>
      </c>
      <c r="AA23">
        <v>25.939215200021799</v>
      </c>
      <c r="AB23" t="s">
        <v>59</v>
      </c>
      <c r="AC23">
        <v>1</v>
      </c>
      <c r="AD23">
        <v>0.65679259999887996</v>
      </c>
      <c r="AE23" t="s">
        <v>60</v>
      </c>
      <c r="AJ23" t="s">
        <v>2</v>
      </c>
      <c r="AK23">
        <v>1</v>
      </c>
      <c r="AL23" t="s">
        <v>74</v>
      </c>
      <c r="AM23" t="s">
        <v>53</v>
      </c>
      <c r="AO23" t="s">
        <v>54</v>
      </c>
      <c r="AP23">
        <v>59.988758090968503</v>
      </c>
      <c r="AQ23" t="s">
        <v>75</v>
      </c>
    </row>
    <row r="24" spans="1:43" x14ac:dyDescent="0.3">
      <c r="A24" t="s">
        <v>61</v>
      </c>
      <c r="B24" t="s">
        <v>62</v>
      </c>
      <c r="C24" t="s">
        <v>58</v>
      </c>
      <c r="D24" t="s">
        <v>63</v>
      </c>
      <c r="E24">
        <v>21</v>
      </c>
      <c r="F24">
        <v>1</v>
      </c>
      <c r="G24">
        <v>5</v>
      </c>
      <c r="H24" t="s">
        <v>63</v>
      </c>
      <c r="I24">
        <v>1</v>
      </c>
      <c r="J24">
        <v>0.72609809995628805</v>
      </c>
      <c r="K24" t="s">
        <v>60</v>
      </c>
      <c r="L24">
        <v>5</v>
      </c>
      <c r="M24">
        <v>1</v>
      </c>
      <c r="N24">
        <v>21</v>
      </c>
      <c r="O24">
        <v>3</v>
      </c>
      <c r="P24">
        <v>25.955342200002601</v>
      </c>
      <c r="V24">
        <v>25.9449074000003</v>
      </c>
      <c r="W24">
        <v>25.955342200002601</v>
      </c>
      <c r="X24">
        <v>26.454868300003</v>
      </c>
      <c r="Y24">
        <v>26.454868300003</v>
      </c>
      <c r="Z24">
        <v>26.454868300003</v>
      </c>
      <c r="AA24">
        <v>27.188404100015699</v>
      </c>
      <c r="AB24" t="s">
        <v>63</v>
      </c>
      <c r="AC24">
        <v>1</v>
      </c>
      <c r="AD24">
        <v>0.72609809995628805</v>
      </c>
      <c r="AE24" t="s">
        <v>60</v>
      </c>
      <c r="AJ24" t="s">
        <v>2</v>
      </c>
      <c r="AK24">
        <v>1</v>
      </c>
      <c r="AL24" t="s">
        <v>74</v>
      </c>
      <c r="AM24" t="s">
        <v>53</v>
      </c>
      <c r="AO24" t="s">
        <v>54</v>
      </c>
      <c r="AP24">
        <v>59.988758090968503</v>
      </c>
      <c r="AQ24" t="s">
        <v>75</v>
      </c>
    </row>
    <row r="25" spans="1:43" x14ac:dyDescent="0.3">
      <c r="A25" t="s">
        <v>56</v>
      </c>
      <c r="B25" t="s">
        <v>62</v>
      </c>
      <c r="C25" t="s">
        <v>64</v>
      </c>
      <c r="D25" t="s">
        <v>63</v>
      </c>
      <c r="E25">
        <v>22</v>
      </c>
      <c r="F25">
        <v>2</v>
      </c>
      <c r="G25">
        <v>5</v>
      </c>
      <c r="H25" t="s">
        <v>63</v>
      </c>
      <c r="I25">
        <v>1</v>
      </c>
      <c r="J25">
        <v>1.24151019996497</v>
      </c>
      <c r="K25" t="s">
        <v>60</v>
      </c>
      <c r="L25">
        <v>5</v>
      </c>
      <c r="M25">
        <v>2</v>
      </c>
      <c r="N25">
        <v>22</v>
      </c>
      <c r="O25">
        <v>1</v>
      </c>
      <c r="P25">
        <v>27.204472900018999</v>
      </c>
      <c r="V25">
        <v>27.195193500025098</v>
      </c>
      <c r="W25">
        <v>27.204472900018999</v>
      </c>
      <c r="X25">
        <v>27.687377299996999</v>
      </c>
      <c r="Y25">
        <v>27.687377299996999</v>
      </c>
      <c r="Z25">
        <v>27.687377299996999</v>
      </c>
      <c r="AA25">
        <v>28.9373587999725</v>
      </c>
      <c r="AB25" t="s">
        <v>63</v>
      </c>
      <c r="AC25">
        <v>1</v>
      </c>
      <c r="AD25">
        <v>1.24151019996497</v>
      </c>
      <c r="AE25" t="s">
        <v>60</v>
      </c>
      <c r="AJ25" t="s">
        <v>2</v>
      </c>
      <c r="AK25">
        <v>1</v>
      </c>
      <c r="AL25" t="s">
        <v>74</v>
      </c>
      <c r="AM25" t="s">
        <v>53</v>
      </c>
      <c r="AO25" t="s">
        <v>54</v>
      </c>
      <c r="AP25">
        <v>59.988758090968503</v>
      </c>
      <c r="AQ25" t="s">
        <v>75</v>
      </c>
    </row>
    <row r="26" spans="1:43" x14ac:dyDescent="0.3">
      <c r="A26" t="s">
        <v>61</v>
      </c>
      <c r="B26" t="s">
        <v>57</v>
      </c>
      <c r="C26" t="s">
        <v>64</v>
      </c>
      <c r="D26" t="s">
        <v>59</v>
      </c>
      <c r="E26">
        <v>23</v>
      </c>
      <c r="F26">
        <v>3</v>
      </c>
      <c r="G26">
        <v>5</v>
      </c>
      <c r="H26" t="s">
        <v>59</v>
      </c>
      <c r="I26">
        <v>1</v>
      </c>
      <c r="J26">
        <v>0.64508849999401696</v>
      </c>
      <c r="K26" t="s">
        <v>60</v>
      </c>
      <c r="L26">
        <v>5</v>
      </c>
      <c r="M26">
        <v>3</v>
      </c>
      <c r="N26">
        <v>23</v>
      </c>
      <c r="O26">
        <v>2</v>
      </c>
      <c r="P26">
        <v>28.953263600007599</v>
      </c>
      <c r="V26">
        <v>28.941906899970402</v>
      </c>
      <c r="W26">
        <v>28.953263600007599</v>
      </c>
      <c r="X26">
        <v>29.4530735000153</v>
      </c>
      <c r="Y26">
        <v>29.4530735000153</v>
      </c>
      <c r="Z26">
        <v>29.4530735000153</v>
      </c>
      <c r="AA26">
        <v>30.1032130999956</v>
      </c>
      <c r="AB26" t="s">
        <v>59</v>
      </c>
      <c r="AC26">
        <v>1</v>
      </c>
      <c r="AD26">
        <v>0.64508849999401696</v>
      </c>
      <c r="AE26" t="s">
        <v>60</v>
      </c>
      <c r="AJ26" t="s">
        <v>2</v>
      </c>
      <c r="AK26">
        <v>1</v>
      </c>
      <c r="AL26" t="s">
        <v>74</v>
      </c>
      <c r="AM26" t="s">
        <v>53</v>
      </c>
      <c r="AO26" t="s">
        <v>54</v>
      </c>
      <c r="AP26">
        <v>59.988758090968503</v>
      </c>
      <c r="AQ26" t="s">
        <v>75</v>
      </c>
    </row>
    <row r="27" spans="1:43" x14ac:dyDescent="0.3">
      <c r="A27" t="s">
        <v>61</v>
      </c>
      <c r="B27" t="s">
        <v>62</v>
      </c>
      <c r="C27" t="s">
        <v>58</v>
      </c>
      <c r="D27" t="s">
        <v>63</v>
      </c>
      <c r="E27">
        <v>24</v>
      </c>
      <c r="F27">
        <v>0</v>
      </c>
      <c r="G27">
        <v>6</v>
      </c>
      <c r="H27" t="s">
        <v>63</v>
      </c>
      <c r="I27">
        <v>1</v>
      </c>
      <c r="J27">
        <v>0.435983499977737</v>
      </c>
      <c r="K27" t="s">
        <v>60</v>
      </c>
      <c r="L27">
        <v>6</v>
      </c>
      <c r="M27">
        <v>0</v>
      </c>
      <c r="N27">
        <v>24</v>
      </c>
      <c r="O27">
        <v>3</v>
      </c>
      <c r="P27">
        <v>30.119346100022</v>
      </c>
      <c r="V27">
        <v>30.104163900017699</v>
      </c>
      <c r="W27">
        <v>30.119346100022</v>
      </c>
      <c r="X27">
        <v>30.619022700004201</v>
      </c>
      <c r="Y27">
        <v>30.619022700004201</v>
      </c>
      <c r="Z27">
        <v>30.619022700004201</v>
      </c>
      <c r="AA27">
        <v>31.069382100016799</v>
      </c>
      <c r="AB27" t="s">
        <v>63</v>
      </c>
      <c r="AC27">
        <v>1</v>
      </c>
      <c r="AD27">
        <v>0.435983499977737</v>
      </c>
      <c r="AE27" t="s">
        <v>60</v>
      </c>
      <c r="AJ27" t="s">
        <v>2</v>
      </c>
      <c r="AK27">
        <v>1</v>
      </c>
      <c r="AL27" t="s">
        <v>74</v>
      </c>
      <c r="AM27" t="s">
        <v>53</v>
      </c>
      <c r="AO27" t="s">
        <v>54</v>
      </c>
      <c r="AP27">
        <v>59.988758090968503</v>
      </c>
      <c r="AQ27" t="s">
        <v>75</v>
      </c>
    </row>
    <row r="28" spans="1:43" x14ac:dyDescent="0.3">
      <c r="A28" t="s">
        <v>56</v>
      </c>
      <c r="B28" t="s">
        <v>62</v>
      </c>
      <c r="C28" t="s">
        <v>64</v>
      </c>
      <c r="D28" t="s">
        <v>63</v>
      </c>
      <c r="E28">
        <v>25</v>
      </c>
      <c r="F28">
        <v>1</v>
      </c>
      <c r="G28">
        <v>6</v>
      </c>
      <c r="H28" t="s">
        <v>63</v>
      </c>
      <c r="I28">
        <v>1</v>
      </c>
      <c r="J28">
        <v>0.72865110001293898</v>
      </c>
      <c r="K28" t="s">
        <v>60</v>
      </c>
      <c r="L28">
        <v>6</v>
      </c>
      <c r="M28">
        <v>1</v>
      </c>
      <c r="N28">
        <v>25</v>
      </c>
      <c r="O28">
        <v>1</v>
      </c>
      <c r="P28">
        <v>31.085319700010501</v>
      </c>
      <c r="V28">
        <v>31.073858899995599</v>
      </c>
      <c r="W28">
        <v>31.085319700010501</v>
      </c>
      <c r="X28">
        <v>31.5849772000219</v>
      </c>
      <c r="Y28">
        <v>31.5849772000219</v>
      </c>
      <c r="Z28">
        <v>31.5849772000219</v>
      </c>
      <c r="AA28">
        <v>32.318421699979801</v>
      </c>
      <c r="AB28" t="s">
        <v>63</v>
      </c>
      <c r="AC28">
        <v>1</v>
      </c>
      <c r="AD28">
        <v>0.72865110001293898</v>
      </c>
      <c r="AE28" t="s">
        <v>60</v>
      </c>
      <c r="AJ28" t="s">
        <v>2</v>
      </c>
      <c r="AK28">
        <v>1</v>
      </c>
      <c r="AL28" t="s">
        <v>74</v>
      </c>
      <c r="AM28" t="s">
        <v>53</v>
      </c>
      <c r="AO28" t="s">
        <v>54</v>
      </c>
      <c r="AP28">
        <v>59.988758090968503</v>
      </c>
      <c r="AQ28" t="s">
        <v>75</v>
      </c>
    </row>
    <row r="29" spans="1:43" x14ac:dyDescent="0.3">
      <c r="A29" t="s">
        <v>61</v>
      </c>
      <c r="B29" t="s">
        <v>57</v>
      </c>
      <c r="C29" t="s">
        <v>64</v>
      </c>
      <c r="D29" t="s">
        <v>59</v>
      </c>
      <c r="E29">
        <v>26</v>
      </c>
      <c r="F29">
        <v>2</v>
      </c>
      <c r="G29">
        <v>6</v>
      </c>
      <c r="H29" t="s">
        <v>59</v>
      </c>
      <c r="I29">
        <v>1</v>
      </c>
      <c r="J29">
        <v>0.68429319997085203</v>
      </c>
      <c r="K29" t="s">
        <v>60</v>
      </c>
      <c r="L29">
        <v>6</v>
      </c>
      <c r="M29">
        <v>2</v>
      </c>
      <c r="N29">
        <v>26</v>
      </c>
      <c r="O29">
        <v>2</v>
      </c>
      <c r="P29">
        <v>32.3345197999733</v>
      </c>
      <c r="V29">
        <v>32.325151400000301</v>
      </c>
      <c r="W29">
        <v>32.3345197999733</v>
      </c>
      <c r="X29">
        <v>32.817604299983898</v>
      </c>
      <c r="Y29">
        <v>32.817604299983898</v>
      </c>
      <c r="Z29">
        <v>32.817604299983898</v>
      </c>
      <c r="AA29">
        <v>33.517833199992303</v>
      </c>
      <c r="AB29" t="s">
        <v>59</v>
      </c>
      <c r="AC29">
        <v>1</v>
      </c>
      <c r="AD29">
        <v>0.68429319997085203</v>
      </c>
      <c r="AE29" t="s">
        <v>60</v>
      </c>
      <c r="AJ29" t="s">
        <v>2</v>
      </c>
      <c r="AK29">
        <v>1</v>
      </c>
      <c r="AL29" t="s">
        <v>74</v>
      </c>
      <c r="AM29" t="s">
        <v>53</v>
      </c>
      <c r="AO29" t="s">
        <v>54</v>
      </c>
      <c r="AP29">
        <v>59.988758090968503</v>
      </c>
      <c r="AQ29" t="s">
        <v>75</v>
      </c>
    </row>
    <row r="30" spans="1:43" x14ac:dyDescent="0.3">
      <c r="A30" t="s">
        <v>56</v>
      </c>
      <c r="B30" t="s">
        <v>57</v>
      </c>
      <c r="C30" t="s">
        <v>58</v>
      </c>
      <c r="D30" t="s">
        <v>59</v>
      </c>
      <c r="E30">
        <v>27</v>
      </c>
      <c r="F30">
        <v>3</v>
      </c>
      <c r="G30">
        <v>6</v>
      </c>
      <c r="H30" t="s">
        <v>59</v>
      </c>
      <c r="I30">
        <v>1</v>
      </c>
      <c r="J30">
        <v>0.46159660001285302</v>
      </c>
      <c r="K30" t="s">
        <v>60</v>
      </c>
      <c r="L30">
        <v>6</v>
      </c>
      <c r="M30">
        <v>3</v>
      </c>
      <c r="N30">
        <v>27</v>
      </c>
      <c r="O30">
        <v>0</v>
      </c>
      <c r="P30">
        <v>33.533684399968401</v>
      </c>
      <c r="V30">
        <v>33.522427899995797</v>
      </c>
      <c r="W30">
        <v>33.533684399968401</v>
      </c>
      <c r="X30">
        <v>34.033357099979099</v>
      </c>
      <c r="Y30">
        <v>34.033357099979099</v>
      </c>
      <c r="Z30">
        <v>34.033357099979099</v>
      </c>
      <c r="AA30">
        <v>34.500463099975597</v>
      </c>
      <c r="AB30" t="s">
        <v>59</v>
      </c>
      <c r="AC30">
        <v>1</v>
      </c>
      <c r="AD30">
        <v>0.46159660001285302</v>
      </c>
      <c r="AE30" t="s">
        <v>60</v>
      </c>
      <c r="AJ30" t="s">
        <v>2</v>
      </c>
      <c r="AK30">
        <v>1</v>
      </c>
      <c r="AL30" t="s">
        <v>74</v>
      </c>
      <c r="AM30" t="s">
        <v>53</v>
      </c>
      <c r="AO30" t="s">
        <v>54</v>
      </c>
      <c r="AP30">
        <v>59.988758090968503</v>
      </c>
      <c r="AQ30" t="s">
        <v>75</v>
      </c>
    </row>
    <row r="31" spans="1:43" x14ac:dyDescent="0.3">
      <c r="A31" t="s">
        <v>56</v>
      </c>
      <c r="B31" t="s">
        <v>57</v>
      </c>
      <c r="C31" t="s">
        <v>58</v>
      </c>
      <c r="D31" t="s">
        <v>59</v>
      </c>
      <c r="E31">
        <v>28</v>
      </c>
      <c r="F31">
        <v>0</v>
      </c>
      <c r="G31">
        <v>7</v>
      </c>
      <c r="H31" t="s">
        <v>59</v>
      </c>
      <c r="I31">
        <v>1</v>
      </c>
      <c r="J31">
        <v>0.56707240000832804</v>
      </c>
      <c r="K31" t="s">
        <v>60</v>
      </c>
      <c r="L31">
        <v>7</v>
      </c>
      <c r="M31">
        <v>0</v>
      </c>
      <c r="N31">
        <v>28</v>
      </c>
      <c r="O31">
        <v>0</v>
      </c>
      <c r="P31">
        <v>34.516566700010998</v>
      </c>
      <c r="V31">
        <v>34.501407300005603</v>
      </c>
      <c r="W31">
        <v>34.516566700010998</v>
      </c>
      <c r="X31">
        <v>35.016196599986799</v>
      </c>
      <c r="Y31">
        <v>35.016196599986799</v>
      </c>
      <c r="Z31">
        <v>35.016196599986799</v>
      </c>
      <c r="AA31">
        <v>35.599735900002997</v>
      </c>
      <c r="AB31" t="s">
        <v>59</v>
      </c>
      <c r="AC31">
        <v>1</v>
      </c>
      <c r="AD31">
        <v>0.56707240000832804</v>
      </c>
      <c r="AE31" t="s">
        <v>60</v>
      </c>
      <c r="AJ31" t="s">
        <v>2</v>
      </c>
      <c r="AK31">
        <v>1</v>
      </c>
      <c r="AL31" t="s">
        <v>74</v>
      </c>
      <c r="AM31" t="s">
        <v>53</v>
      </c>
      <c r="AO31" t="s">
        <v>54</v>
      </c>
      <c r="AP31">
        <v>59.988758090968503</v>
      </c>
      <c r="AQ31" t="s">
        <v>75</v>
      </c>
    </row>
    <row r="32" spans="1:43" x14ac:dyDescent="0.3">
      <c r="A32" t="s">
        <v>61</v>
      </c>
      <c r="B32" t="s">
        <v>57</v>
      </c>
      <c r="C32" t="s">
        <v>64</v>
      </c>
      <c r="D32" t="s">
        <v>59</v>
      </c>
      <c r="E32">
        <v>29</v>
      </c>
      <c r="F32">
        <v>1</v>
      </c>
      <c r="G32">
        <v>7</v>
      </c>
      <c r="H32" t="s">
        <v>59</v>
      </c>
      <c r="I32">
        <v>1</v>
      </c>
      <c r="J32">
        <v>1.0294853999512199</v>
      </c>
      <c r="K32" t="s">
        <v>60</v>
      </c>
      <c r="L32">
        <v>7</v>
      </c>
      <c r="M32">
        <v>1</v>
      </c>
      <c r="N32">
        <v>29</v>
      </c>
      <c r="O32">
        <v>2</v>
      </c>
      <c r="P32">
        <v>35.615776000020503</v>
      </c>
      <c r="V32">
        <v>35.606384699989498</v>
      </c>
      <c r="W32">
        <v>35.615776000020503</v>
      </c>
      <c r="X32">
        <v>36.115425299969502</v>
      </c>
      <c r="Y32">
        <v>36.115425299969502</v>
      </c>
      <c r="Z32">
        <v>36.115425299969502</v>
      </c>
      <c r="AA32">
        <v>37.148835500003699</v>
      </c>
      <c r="AB32" t="s">
        <v>59</v>
      </c>
      <c r="AC32">
        <v>1</v>
      </c>
      <c r="AD32">
        <v>1.0294853999512199</v>
      </c>
      <c r="AE32" t="s">
        <v>60</v>
      </c>
      <c r="AJ32" t="s">
        <v>2</v>
      </c>
      <c r="AK32">
        <v>1</v>
      </c>
      <c r="AL32" t="s">
        <v>74</v>
      </c>
      <c r="AM32" t="s">
        <v>53</v>
      </c>
      <c r="AO32" t="s">
        <v>54</v>
      </c>
      <c r="AP32">
        <v>59.988758090968503</v>
      </c>
      <c r="AQ32" t="s">
        <v>75</v>
      </c>
    </row>
    <row r="33" spans="1:43" x14ac:dyDescent="0.3">
      <c r="A33" t="s">
        <v>61</v>
      </c>
      <c r="B33" t="s">
        <v>62</v>
      </c>
      <c r="C33" t="s">
        <v>58</v>
      </c>
      <c r="D33" t="s">
        <v>63</v>
      </c>
      <c r="E33">
        <v>30</v>
      </c>
      <c r="F33">
        <v>2</v>
      </c>
      <c r="G33">
        <v>7</v>
      </c>
      <c r="H33" t="s">
        <v>63</v>
      </c>
      <c r="I33">
        <v>1</v>
      </c>
      <c r="J33">
        <v>0.49107680004089999</v>
      </c>
      <c r="K33" t="s">
        <v>60</v>
      </c>
      <c r="L33">
        <v>7</v>
      </c>
      <c r="M33">
        <v>2</v>
      </c>
      <c r="N33">
        <v>30</v>
      </c>
      <c r="O33">
        <v>3</v>
      </c>
      <c r="P33">
        <v>37.164928400015903</v>
      </c>
      <c r="V33">
        <v>37.149755300022598</v>
      </c>
      <c r="W33">
        <v>37.164928400015903</v>
      </c>
      <c r="X33">
        <v>37.664588099985799</v>
      </c>
      <c r="Y33">
        <v>37.664588099985799</v>
      </c>
      <c r="Z33">
        <v>37.664588099985799</v>
      </c>
      <c r="AA33">
        <v>38.164717599982303</v>
      </c>
      <c r="AB33" t="s">
        <v>63</v>
      </c>
      <c r="AC33">
        <v>1</v>
      </c>
      <c r="AD33">
        <v>0.49107680004089999</v>
      </c>
      <c r="AE33" t="s">
        <v>60</v>
      </c>
      <c r="AJ33" t="s">
        <v>2</v>
      </c>
      <c r="AK33">
        <v>1</v>
      </c>
      <c r="AL33" t="s">
        <v>74</v>
      </c>
      <c r="AM33" t="s">
        <v>53</v>
      </c>
      <c r="AO33" t="s">
        <v>54</v>
      </c>
      <c r="AP33">
        <v>59.988758090968503</v>
      </c>
      <c r="AQ33" t="s">
        <v>75</v>
      </c>
    </row>
    <row r="34" spans="1:43" x14ac:dyDescent="0.3">
      <c r="A34" t="s">
        <v>56</v>
      </c>
      <c r="B34" t="s">
        <v>62</v>
      </c>
      <c r="C34" t="s">
        <v>64</v>
      </c>
      <c r="D34" t="s">
        <v>63</v>
      </c>
      <c r="E34">
        <v>31</v>
      </c>
      <c r="F34">
        <v>3</v>
      </c>
      <c r="G34">
        <v>7</v>
      </c>
      <c r="H34" t="s">
        <v>63</v>
      </c>
      <c r="I34">
        <v>1</v>
      </c>
      <c r="J34">
        <v>0.35195520002162001</v>
      </c>
      <c r="K34" t="s">
        <v>60</v>
      </c>
      <c r="L34">
        <v>7</v>
      </c>
      <c r="M34">
        <v>3</v>
      </c>
      <c r="N34">
        <v>31</v>
      </c>
      <c r="O34">
        <v>1</v>
      </c>
      <c r="P34">
        <v>38.1807996999705</v>
      </c>
      <c r="V34">
        <v>38.169174299982799</v>
      </c>
      <c r="W34">
        <v>38.1807996999705</v>
      </c>
      <c r="X34">
        <v>38.663888500013798</v>
      </c>
      <c r="Y34">
        <v>38.663888500013798</v>
      </c>
      <c r="Z34">
        <v>38.663888500013798</v>
      </c>
      <c r="AA34">
        <v>39.030971399974</v>
      </c>
      <c r="AB34" t="s">
        <v>63</v>
      </c>
      <c r="AC34">
        <v>1</v>
      </c>
      <c r="AD34">
        <v>0.35195520002162001</v>
      </c>
      <c r="AE34" t="s">
        <v>60</v>
      </c>
      <c r="AJ34" t="s">
        <v>2</v>
      </c>
      <c r="AK34">
        <v>1</v>
      </c>
      <c r="AL34" t="s">
        <v>74</v>
      </c>
      <c r="AM34" t="s">
        <v>53</v>
      </c>
      <c r="AO34" t="s">
        <v>54</v>
      </c>
      <c r="AP34">
        <v>59.988758090968503</v>
      </c>
      <c r="AQ34" t="s">
        <v>75</v>
      </c>
    </row>
    <row r="35" spans="1:43" x14ac:dyDescent="0.3">
      <c r="A35" t="s">
        <v>56</v>
      </c>
      <c r="B35" t="s">
        <v>57</v>
      </c>
      <c r="C35" t="s">
        <v>58</v>
      </c>
      <c r="D35" t="s">
        <v>59</v>
      </c>
      <c r="E35">
        <v>32</v>
      </c>
      <c r="F35">
        <v>0</v>
      </c>
      <c r="G35">
        <v>8</v>
      </c>
      <c r="H35" t="s">
        <v>59</v>
      </c>
      <c r="I35">
        <v>1</v>
      </c>
      <c r="J35">
        <v>0.43719440000131699</v>
      </c>
      <c r="K35" t="s">
        <v>60</v>
      </c>
      <c r="L35">
        <v>8</v>
      </c>
      <c r="M35">
        <v>0</v>
      </c>
      <c r="N35">
        <v>32</v>
      </c>
      <c r="O35">
        <v>0</v>
      </c>
      <c r="P35">
        <v>39.047069799969897</v>
      </c>
      <c r="V35">
        <v>39.031933000020203</v>
      </c>
      <c r="W35">
        <v>39.047069799969897</v>
      </c>
      <c r="X35">
        <v>39.546661800006397</v>
      </c>
      <c r="Y35">
        <v>39.546661800006397</v>
      </c>
      <c r="Z35">
        <v>39.546661800006397</v>
      </c>
      <c r="AA35">
        <v>39.996934599999797</v>
      </c>
      <c r="AB35" t="s">
        <v>59</v>
      </c>
      <c r="AC35">
        <v>1</v>
      </c>
      <c r="AD35">
        <v>0.43719440000131699</v>
      </c>
      <c r="AE35" t="s">
        <v>60</v>
      </c>
      <c r="AJ35" t="s">
        <v>2</v>
      </c>
      <c r="AK35">
        <v>1</v>
      </c>
      <c r="AL35" t="s">
        <v>74</v>
      </c>
      <c r="AM35" t="s">
        <v>53</v>
      </c>
      <c r="AO35" t="s">
        <v>54</v>
      </c>
      <c r="AP35">
        <v>59.988758090968503</v>
      </c>
      <c r="AQ35" t="s">
        <v>75</v>
      </c>
    </row>
    <row r="36" spans="1:43" x14ac:dyDescent="0.3">
      <c r="A36" t="s">
        <v>56</v>
      </c>
      <c r="B36" t="s">
        <v>62</v>
      </c>
      <c r="C36" t="s">
        <v>64</v>
      </c>
      <c r="D36" t="s">
        <v>63</v>
      </c>
      <c r="E36">
        <v>33</v>
      </c>
      <c r="F36">
        <v>1</v>
      </c>
      <c r="G36">
        <v>8</v>
      </c>
      <c r="H36" t="s">
        <v>63</v>
      </c>
      <c r="I36">
        <v>1</v>
      </c>
      <c r="J36">
        <v>0.48138860001927197</v>
      </c>
      <c r="K36" t="s">
        <v>60</v>
      </c>
      <c r="L36">
        <v>8</v>
      </c>
      <c r="M36">
        <v>1</v>
      </c>
      <c r="N36">
        <v>33</v>
      </c>
      <c r="O36">
        <v>1</v>
      </c>
      <c r="P36">
        <v>40.013057700009</v>
      </c>
      <c r="V36">
        <v>39.997788799984797</v>
      </c>
      <c r="W36">
        <v>40.013057700009</v>
      </c>
      <c r="X36">
        <v>40.512718999991101</v>
      </c>
      <c r="Y36">
        <v>40.512718999991101</v>
      </c>
      <c r="Z36">
        <v>40.512718999991101</v>
      </c>
      <c r="AA36">
        <v>40.996232100005699</v>
      </c>
      <c r="AB36" t="s">
        <v>63</v>
      </c>
      <c r="AC36">
        <v>1</v>
      </c>
      <c r="AD36">
        <v>0.48138860001927197</v>
      </c>
      <c r="AE36" t="s">
        <v>60</v>
      </c>
      <c r="AJ36" t="s">
        <v>2</v>
      </c>
      <c r="AK36">
        <v>1</v>
      </c>
      <c r="AL36" t="s">
        <v>74</v>
      </c>
      <c r="AM36" t="s">
        <v>53</v>
      </c>
      <c r="AO36" t="s">
        <v>54</v>
      </c>
      <c r="AP36">
        <v>59.988758090968503</v>
      </c>
      <c r="AQ36" t="s">
        <v>75</v>
      </c>
    </row>
    <row r="37" spans="1:43" x14ac:dyDescent="0.3">
      <c r="A37" t="s">
        <v>61</v>
      </c>
      <c r="B37" t="s">
        <v>57</v>
      </c>
      <c r="C37" t="s">
        <v>64</v>
      </c>
      <c r="D37" t="s">
        <v>59</v>
      </c>
      <c r="E37">
        <v>34</v>
      </c>
      <c r="F37">
        <v>2</v>
      </c>
      <c r="G37">
        <v>8</v>
      </c>
      <c r="H37" t="s">
        <v>59</v>
      </c>
      <c r="I37">
        <v>1</v>
      </c>
      <c r="J37">
        <v>0.87091289996169496</v>
      </c>
      <c r="K37" t="s">
        <v>60</v>
      </c>
      <c r="L37">
        <v>8</v>
      </c>
      <c r="M37">
        <v>2</v>
      </c>
      <c r="N37">
        <v>34</v>
      </c>
      <c r="O37">
        <v>2</v>
      </c>
      <c r="P37">
        <v>41.012404599983697</v>
      </c>
      <c r="V37">
        <v>41.000491300015703</v>
      </c>
      <c r="W37">
        <v>41.012404599983697</v>
      </c>
      <c r="X37">
        <v>41.495428299997002</v>
      </c>
      <c r="Y37">
        <v>41.495428299997002</v>
      </c>
      <c r="Z37">
        <v>41.495428299997002</v>
      </c>
      <c r="AA37">
        <v>42.378759099985402</v>
      </c>
      <c r="AB37" t="s">
        <v>59</v>
      </c>
      <c r="AC37">
        <v>1</v>
      </c>
      <c r="AD37">
        <v>0.87091289996169496</v>
      </c>
      <c r="AE37" t="s">
        <v>60</v>
      </c>
      <c r="AJ37" t="s">
        <v>2</v>
      </c>
      <c r="AK37">
        <v>1</v>
      </c>
      <c r="AL37" t="s">
        <v>74</v>
      </c>
      <c r="AM37" t="s">
        <v>53</v>
      </c>
      <c r="AO37" t="s">
        <v>54</v>
      </c>
      <c r="AP37">
        <v>59.988758090968503</v>
      </c>
      <c r="AQ37" t="s">
        <v>75</v>
      </c>
    </row>
    <row r="38" spans="1:43" x14ac:dyDescent="0.3">
      <c r="A38" t="s">
        <v>61</v>
      </c>
      <c r="B38" t="s">
        <v>62</v>
      </c>
      <c r="C38" t="s">
        <v>58</v>
      </c>
      <c r="D38" t="s">
        <v>63</v>
      </c>
      <c r="E38">
        <v>35</v>
      </c>
      <c r="F38">
        <v>3</v>
      </c>
      <c r="G38">
        <v>8</v>
      </c>
      <c r="H38" t="s">
        <v>63</v>
      </c>
      <c r="I38">
        <v>1</v>
      </c>
      <c r="J38">
        <v>0.44548929994925801</v>
      </c>
      <c r="K38" t="s">
        <v>60</v>
      </c>
      <c r="L38">
        <v>8</v>
      </c>
      <c r="M38">
        <v>3</v>
      </c>
      <c r="N38">
        <v>35</v>
      </c>
      <c r="O38">
        <v>3</v>
      </c>
      <c r="P38">
        <v>42.394929800007901</v>
      </c>
      <c r="V38">
        <v>42.379675999982197</v>
      </c>
      <c r="W38">
        <v>42.394929800007901</v>
      </c>
      <c r="X38">
        <v>42.877860800013799</v>
      </c>
      <c r="Y38">
        <v>42.877860800013799</v>
      </c>
      <c r="Z38">
        <v>42.877860800013799</v>
      </c>
      <c r="AA38">
        <v>43.328232400002797</v>
      </c>
      <c r="AB38" t="s">
        <v>63</v>
      </c>
      <c r="AC38">
        <v>1</v>
      </c>
      <c r="AD38">
        <v>0.44548929994925801</v>
      </c>
      <c r="AE38" t="s">
        <v>60</v>
      </c>
      <c r="AJ38" t="s">
        <v>2</v>
      </c>
      <c r="AK38">
        <v>1</v>
      </c>
      <c r="AL38" t="s">
        <v>74</v>
      </c>
      <c r="AM38" t="s">
        <v>53</v>
      </c>
      <c r="AO38" t="s">
        <v>54</v>
      </c>
      <c r="AP38">
        <v>59.988758090968503</v>
      </c>
      <c r="AQ38" t="s">
        <v>75</v>
      </c>
    </row>
    <row r="39" spans="1:43" x14ac:dyDescent="0.3">
      <c r="A39" t="s">
        <v>56</v>
      </c>
      <c r="B39" t="s">
        <v>57</v>
      </c>
      <c r="C39" t="s">
        <v>58</v>
      </c>
      <c r="D39" t="s">
        <v>59</v>
      </c>
      <c r="E39">
        <v>36</v>
      </c>
      <c r="F39">
        <v>0</v>
      </c>
      <c r="G39">
        <v>9</v>
      </c>
      <c r="H39" t="s">
        <v>59</v>
      </c>
      <c r="I39">
        <v>1</v>
      </c>
      <c r="J39">
        <v>0.36798790004104298</v>
      </c>
      <c r="K39" t="s">
        <v>60</v>
      </c>
      <c r="L39">
        <v>9</v>
      </c>
      <c r="M39">
        <v>0</v>
      </c>
      <c r="N39">
        <v>36</v>
      </c>
      <c r="O39">
        <v>0</v>
      </c>
      <c r="P39">
        <v>43.344286100007501</v>
      </c>
      <c r="V39">
        <v>43.332656099984803</v>
      </c>
      <c r="W39">
        <v>43.344286100007501</v>
      </c>
      <c r="X39">
        <v>43.843919700011597</v>
      </c>
      <c r="Y39">
        <v>43.843919700011597</v>
      </c>
      <c r="Z39">
        <v>43.843919700011597</v>
      </c>
      <c r="AA39">
        <v>44.227611300011603</v>
      </c>
      <c r="AB39" t="s">
        <v>59</v>
      </c>
      <c r="AC39">
        <v>1</v>
      </c>
      <c r="AD39">
        <v>0.36798790004104298</v>
      </c>
      <c r="AE39" t="s">
        <v>60</v>
      </c>
      <c r="AJ39" t="s">
        <v>2</v>
      </c>
      <c r="AK39">
        <v>1</v>
      </c>
      <c r="AL39" t="s">
        <v>74</v>
      </c>
      <c r="AM39" t="s">
        <v>53</v>
      </c>
      <c r="AO39" t="s">
        <v>54</v>
      </c>
      <c r="AP39">
        <v>59.988758090968503</v>
      </c>
      <c r="AQ39" t="s">
        <v>75</v>
      </c>
    </row>
    <row r="40" spans="1:43" x14ac:dyDescent="0.3">
      <c r="A40" t="s">
        <v>61</v>
      </c>
      <c r="B40" t="s">
        <v>57</v>
      </c>
      <c r="C40" t="s">
        <v>64</v>
      </c>
      <c r="D40" t="s">
        <v>59</v>
      </c>
      <c r="E40">
        <v>37</v>
      </c>
      <c r="F40">
        <v>1</v>
      </c>
      <c r="G40">
        <v>9</v>
      </c>
      <c r="H40" t="s">
        <v>59</v>
      </c>
      <c r="I40">
        <v>1</v>
      </c>
      <c r="J40">
        <v>0.66388350003398899</v>
      </c>
      <c r="K40" t="s">
        <v>60</v>
      </c>
      <c r="L40">
        <v>9</v>
      </c>
      <c r="M40">
        <v>1</v>
      </c>
      <c r="N40">
        <v>37</v>
      </c>
      <c r="O40">
        <v>2</v>
      </c>
      <c r="P40">
        <v>44.243714799987998</v>
      </c>
      <c r="V40">
        <v>44.232008400023901</v>
      </c>
      <c r="W40">
        <v>44.243714799987998</v>
      </c>
      <c r="X40">
        <v>44.7264913999824</v>
      </c>
      <c r="Y40">
        <v>44.7264913999824</v>
      </c>
      <c r="Z40">
        <v>44.7264913999824</v>
      </c>
      <c r="AA40">
        <v>45.393648699973703</v>
      </c>
      <c r="AB40" t="s">
        <v>59</v>
      </c>
      <c r="AC40">
        <v>1</v>
      </c>
      <c r="AD40">
        <v>0.66388350003398899</v>
      </c>
      <c r="AE40" t="s">
        <v>60</v>
      </c>
      <c r="AJ40" t="s">
        <v>2</v>
      </c>
      <c r="AK40">
        <v>1</v>
      </c>
      <c r="AL40" t="s">
        <v>74</v>
      </c>
      <c r="AM40" t="s">
        <v>53</v>
      </c>
      <c r="AO40" t="s">
        <v>54</v>
      </c>
      <c r="AP40">
        <v>59.988758090968503</v>
      </c>
      <c r="AQ40" t="s">
        <v>75</v>
      </c>
    </row>
    <row r="41" spans="1:43" x14ac:dyDescent="0.3">
      <c r="A41" t="s">
        <v>56</v>
      </c>
      <c r="B41" t="s">
        <v>62</v>
      </c>
      <c r="C41" t="s">
        <v>64</v>
      </c>
      <c r="D41" t="s">
        <v>63</v>
      </c>
      <c r="E41">
        <v>38</v>
      </c>
      <c r="F41">
        <v>2</v>
      </c>
      <c r="G41">
        <v>9</v>
      </c>
      <c r="H41" t="s">
        <v>63</v>
      </c>
      <c r="I41">
        <v>1</v>
      </c>
      <c r="J41">
        <v>0.57295240001985803</v>
      </c>
      <c r="K41" t="s">
        <v>60</v>
      </c>
      <c r="L41">
        <v>9</v>
      </c>
      <c r="M41">
        <v>2</v>
      </c>
      <c r="N41">
        <v>38</v>
      </c>
      <c r="O41">
        <v>1</v>
      </c>
      <c r="P41">
        <v>45.409662200021501</v>
      </c>
      <c r="V41">
        <v>45.398041000007602</v>
      </c>
      <c r="W41">
        <v>45.409662200021501</v>
      </c>
      <c r="X41">
        <v>45.9092903999844</v>
      </c>
      <c r="Y41">
        <v>45.9092903999844</v>
      </c>
      <c r="Z41">
        <v>45.9092903999844</v>
      </c>
      <c r="AA41">
        <v>46.492926799983202</v>
      </c>
      <c r="AB41" t="s">
        <v>63</v>
      </c>
      <c r="AC41">
        <v>1</v>
      </c>
      <c r="AD41">
        <v>0.57295240001985803</v>
      </c>
      <c r="AE41" t="s">
        <v>60</v>
      </c>
      <c r="AJ41" t="s">
        <v>2</v>
      </c>
      <c r="AK41">
        <v>1</v>
      </c>
      <c r="AL41" t="s">
        <v>74</v>
      </c>
      <c r="AM41" t="s">
        <v>53</v>
      </c>
      <c r="AO41" t="s">
        <v>54</v>
      </c>
      <c r="AP41">
        <v>59.988758090968503</v>
      </c>
      <c r="AQ41" t="s">
        <v>75</v>
      </c>
    </row>
    <row r="42" spans="1:43" x14ac:dyDescent="0.3">
      <c r="A42" t="s">
        <v>61</v>
      </c>
      <c r="B42" t="s">
        <v>62</v>
      </c>
      <c r="C42" t="s">
        <v>58</v>
      </c>
      <c r="D42" t="s">
        <v>63</v>
      </c>
      <c r="E42">
        <v>39</v>
      </c>
      <c r="F42">
        <v>3</v>
      </c>
      <c r="G42">
        <v>9</v>
      </c>
      <c r="H42" t="s">
        <v>63</v>
      </c>
      <c r="I42">
        <v>1</v>
      </c>
      <c r="J42">
        <v>0.65773530001752001</v>
      </c>
      <c r="K42" t="s">
        <v>60</v>
      </c>
      <c r="L42">
        <v>9</v>
      </c>
      <c r="M42">
        <v>3</v>
      </c>
      <c r="N42">
        <v>39</v>
      </c>
      <c r="O42">
        <v>3</v>
      </c>
      <c r="P42">
        <v>46.508919099986002</v>
      </c>
      <c r="V42">
        <v>46.497471700014998</v>
      </c>
      <c r="W42">
        <v>46.508919099986002</v>
      </c>
      <c r="X42">
        <v>47.008664799970497</v>
      </c>
      <c r="Y42">
        <v>47.008664799970497</v>
      </c>
      <c r="Z42">
        <v>47.008664799970497</v>
      </c>
      <c r="AA42">
        <v>47.675387799972597</v>
      </c>
      <c r="AB42" t="s">
        <v>63</v>
      </c>
      <c r="AC42">
        <v>1</v>
      </c>
      <c r="AD42">
        <v>0.65773530001752001</v>
      </c>
      <c r="AE42" t="s">
        <v>60</v>
      </c>
      <c r="AJ42" t="s">
        <v>2</v>
      </c>
      <c r="AK42">
        <v>1</v>
      </c>
      <c r="AL42" t="s">
        <v>74</v>
      </c>
      <c r="AM42" t="s">
        <v>53</v>
      </c>
      <c r="AO42" t="s">
        <v>54</v>
      </c>
      <c r="AP42">
        <v>59.988758090968503</v>
      </c>
      <c r="AQ42" t="s">
        <v>75</v>
      </c>
    </row>
    <row r="43" spans="1:43" x14ac:dyDescent="0.3">
      <c r="AF43">
        <v>47.675591000006499</v>
      </c>
      <c r="AG43">
        <v>47.6915061000036</v>
      </c>
      <c r="AH43">
        <v>48.690759100019903</v>
      </c>
      <c r="AI43">
        <v>48.674581200000802</v>
      </c>
      <c r="AJ43" t="s">
        <v>2</v>
      </c>
      <c r="AK43">
        <v>1</v>
      </c>
      <c r="AL43" t="s">
        <v>74</v>
      </c>
      <c r="AM43" t="s">
        <v>53</v>
      </c>
      <c r="AO43" t="s">
        <v>54</v>
      </c>
      <c r="AP43">
        <v>59.988758090968503</v>
      </c>
      <c r="AQ43" t="s">
        <v>75</v>
      </c>
    </row>
    <row r="44" spans="1:43" x14ac:dyDescent="0.3">
      <c r="A44" t="s">
        <v>76</v>
      </c>
      <c r="B44" s="1">
        <f>AVERAGEIF(C3:C42,"C",J3:J42)</f>
        <v>0.59519232999882576</v>
      </c>
    </row>
    <row r="45" spans="1:43" x14ac:dyDescent="0.3">
      <c r="A45" t="s">
        <v>66</v>
      </c>
      <c r="B45" s="1">
        <f>AVERAGEIF(C3:C42,"I",J3:J42)</f>
        <v>0.70014798499760111</v>
      </c>
    </row>
    <row r="46" spans="1:43" x14ac:dyDescent="0.3">
      <c r="A46" t="s">
        <v>8</v>
      </c>
      <c r="B46" s="1">
        <f>B45-B44</f>
        <v>0.10495565499877535</v>
      </c>
    </row>
    <row r="47" spans="1:43" x14ac:dyDescent="0.3">
      <c r="A47" t="s">
        <v>77</v>
      </c>
      <c r="B47" s="1">
        <f>_xlfn.STDEV.S([2]Sheet1!A3:A22)</f>
        <v>0.22307025990364671</v>
      </c>
    </row>
    <row r="48" spans="1:43" x14ac:dyDescent="0.3">
      <c r="A48" t="s">
        <v>78</v>
      </c>
      <c r="B48" s="1">
        <f>_xlfn.STDEV.S([2]Sheet1!B3:B22)</f>
        <v>0.21394539041495977</v>
      </c>
    </row>
    <row r="51" spans="1:2" x14ac:dyDescent="0.3">
      <c r="A51" t="s">
        <v>79</v>
      </c>
      <c r="B51" t="s">
        <v>70</v>
      </c>
    </row>
    <row r="52" spans="1:2" x14ac:dyDescent="0.3">
      <c r="A52" t="s">
        <v>71</v>
      </c>
      <c r="B52" t="s">
        <v>71</v>
      </c>
    </row>
    <row r="53" spans="1:2" x14ac:dyDescent="0.3">
      <c r="A53">
        <v>0.92599670001072798</v>
      </c>
      <c r="B53">
        <v>0.93259140005102303</v>
      </c>
    </row>
    <row r="54" spans="1:2" x14ac:dyDescent="0.3">
      <c r="A54">
        <v>0.77713190001668397</v>
      </c>
      <c r="B54">
        <v>0.70419159997254599</v>
      </c>
    </row>
    <row r="55" spans="1:2" x14ac:dyDescent="0.3">
      <c r="A55">
        <v>0.48745819996111001</v>
      </c>
      <c r="B55">
        <v>0.50781590002588906</v>
      </c>
    </row>
    <row r="56" spans="1:2" x14ac:dyDescent="0.3">
      <c r="A56">
        <v>0.40611829998670101</v>
      </c>
      <c r="B56">
        <v>0.45985640003345901</v>
      </c>
    </row>
    <row r="57" spans="1:2" x14ac:dyDescent="0.3">
      <c r="A57">
        <v>0.40331369999330402</v>
      </c>
      <c r="B57">
        <v>0.50047579995589297</v>
      </c>
    </row>
    <row r="58" spans="1:2" x14ac:dyDescent="0.3">
      <c r="A58">
        <v>0.54092870000749804</v>
      </c>
      <c r="B58">
        <v>0.73561749997315895</v>
      </c>
    </row>
    <row r="59" spans="1:2" x14ac:dyDescent="0.3">
      <c r="A59">
        <v>0.49547119997441702</v>
      </c>
      <c r="B59">
        <v>0.61870890000136503</v>
      </c>
    </row>
    <row r="60" spans="1:2" x14ac:dyDescent="0.3">
      <c r="A60">
        <v>1.1467931999941301</v>
      </c>
      <c r="B60">
        <v>0.92242319998331301</v>
      </c>
    </row>
    <row r="61" spans="1:2" x14ac:dyDescent="0.3">
      <c r="A61">
        <v>0.434467100014444</v>
      </c>
      <c r="B61">
        <v>0.65160850004758597</v>
      </c>
    </row>
    <row r="62" spans="1:2" x14ac:dyDescent="0.3">
      <c r="A62">
        <v>1.0391407000133699</v>
      </c>
      <c r="B62">
        <v>0.69954949995735605</v>
      </c>
    </row>
    <row r="63" spans="1:2" x14ac:dyDescent="0.3">
      <c r="A63">
        <v>0.65679259999887996</v>
      </c>
      <c r="B63">
        <v>1.24151019996497</v>
      </c>
    </row>
    <row r="64" spans="1:2" x14ac:dyDescent="0.3">
      <c r="A64">
        <v>0.72609809995628805</v>
      </c>
      <c r="B64">
        <v>0.64508849999401696</v>
      </c>
    </row>
    <row r="65" spans="1:2" x14ac:dyDescent="0.3">
      <c r="A65">
        <v>0.435983499977737</v>
      </c>
      <c r="B65">
        <v>0.72865110001293898</v>
      </c>
    </row>
    <row r="66" spans="1:2" x14ac:dyDescent="0.3">
      <c r="A66">
        <v>0.46159660001285302</v>
      </c>
      <c r="B66">
        <v>0.68429319997085203</v>
      </c>
    </row>
    <row r="67" spans="1:2" x14ac:dyDescent="0.3">
      <c r="A67">
        <v>0.56707240000832804</v>
      </c>
      <c r="B67">
        <v>1.0294853999512199</v>
      </c>
    </row>
    <row r="68" spans="1:2" x14ac:dyDescent="0.3">
      <c r="A68">
        <v>0.49107680004089999</v>
      </c>
      <c r="B68">
        <v>0.35195520002162001</v>
      </c>
    </row>
    <row r="69" spans="1:2" x14ac:dyDescent="0.3">
      <c r="A69">
        <v>0.43719440000131699</v>
      </c>
      <c r="B69">
        <v>0.48138860001927197</v>
      </c>
    </row>
    <row r="70" spans="1:2" x14ac:dyDescent="0.3">
      <c r="A70">
        <v>0.44548929994925801</v>
      </c>
      <c r="B70">
        <v>0.87091289996169496</v>
      </c>
    </row>
    <row r="71" spans="1:2" x14ac:dyDescent="0.3">
      <c r="A71">
        <v>0.36798790004104298</v>
      </c>
      <c r="B71">
        <v>0.66388350003398899</v>
      </c>
    </row>
    <row r="72" spans="1:2" x14ac:dyDescent="0.3">
      <c r="A72">
        <v>0.65773530001752001</v>
      </c>
      <c r="B72">
        <v>0.57295240001985803</v>
      </c>
    </row>
    <row r="73" spans="1:2" x14ac:dyDescent="0.3">
      <c r="A73" t="s">
        <v>80</v>
      </c>
    </row>
    <row r="74" spans="1:2" x14ac:dyDescent="0.3">
      <c r="A74" s="1">
        <f>_xlfn.T.TEST(A53:A72,B53:B72, 2, 1)</f>
        <v>6.1315034029969309E-2</v>
      </c>
      <c r="B7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6CF1-03D9-4663-BD61-F803A4E8647D}">
  <dimension ref="A1:AP76"/>
  <sheetViews>
    <sheetView topLeftCell="A41" workbookViewId="0">
      <selection activeCell="F57" sqref="F57"/>
    </sheetView>
  </sheetViews>
  <sheetFormatPr defaultRowHeight="14.4" x14ac:dyDescent="0.3"/>
  <cols>
    <col min="1" max="1" width="14" bestFit="1" customWidth="1"/>
    <col min="2" max="2" width="12" bestFit="1" customWidth="1"/>
  </cols>
  <sheetData>
    <row r="1" spans="1:42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 x14ac:dyDescent="0.3">
      <c r="R2">
        <v>1.7450000159442401E-3</v>
      </c>
      <c r="S2">
        <v>3.9604000048711896E-3</v>
      </c>
      <c r="T2">
        <v>1.0025467000086701</v>
      </c>
      <c r="AI2" t="s">
        <v>3</v>
      </c>
      <c r="AJ2">
        <v>1</v>
      </c>
      <c r="AK2" t="s">
        <v>81</v>
      </c>
      <c r="AL2" t="s">
        <v>53</v>
      </c>
      <c r="AN2" t="s">
        <v>54</v>
      </c>
      <c r="AO2">
        <v>59.891859258221302</v>
      </c>
      <c r="AP2" t="s">
        <v>82</v>
      </c>
    </row>
    <row r="3" spans="1:42" x14ac:dyDescent="0.3">
      <c r="A3" t="s">
        <v>56</v>
      </c>
      <c r="B3" t="s">
        <v>57</v>
      </c>
      <c r="C3" t="s">
        <v>58</v>
      </c>
      <c r="D3" t="s">
        <v>59</v>
      </c>
      <c r="E3">
        <v>0</v>
      </c>
      <c r="F3">
        <v>0</v>
      </c>
      <c r="G3">
        <v>0</v>
      </c>
      <c r="H3" t="s">
        <v>59</v>
      </c>
      <c r="I3">
        <v>1</v>
      </c>
      <c r="J3">
        <v>2.4481531999772401</v>
      </c>
      <c r="K3" t="s">
        <v>60</v>
      </c>
      <c r="L3">
        <v>0</v>
      </c>
      <c r="M3">
        <v>0</v>
      </c>
      <c r="N3">
        <v>0</v>
      </c>
      <c r="O3">
        <v>0</v>
      </c>
      <c r="P3">
        <v>1.0307277000392701</v>
      </c>
      <c r="U3">
        <v>1.0282562000211299</v>
      </c>
      <c r="V3">
        <v>1.0307277000392701</v>
      </c>
      <c r="W3">
        <v>1.5019540000357601</v>
      </c>
      <c r="X3">
        <v>1.5019540000357601</v>
      </c>
      <c r="Y3">
        <v>1.5019540000357601</v>
      </c>
      <c r="Z3">
        <v>3.96838279999792</v>
      </c>
      <c r="AA3" t="s">
        <v>59</v>
      </c>
      <c r="AB3">
        <v>1</v>
      </c>
      <c r="AC3">
        <v>2.4481531999772401</v>
      </c>
      <c r="AD3" t="s">
        <v>60</v>
      </c>
      <c r="AI3" t="s">
        <v>3</v>
      </c>
      <c r="AJ3">
        <v>1</v>
      </c>
      <c r="AK3" t="s">
        <v>81</v>
      </c>
      <c r="AL3" t="s">
        <v>53</v>
      </c>
      <c r="AN3" t="s">
        <v>54</v>
      </c>
      <c r="AO3">
        <v>59.891859258221302</v>
      </c>
      <c r="AP3" t="s">
        <v>82</v>
      </c>
    </row>
    <row r="4" spans="1:42" x14ac:dyDescent="0.3">
      <c r="A4" t="s">
        <v>56</v>
      </c>
      <c r="B4" t="s">
        <v>62</v>
      </c>
      <c r="C4" t="s">
        <v>64</v>
      </c>
      <c r="D4" t="s">
        <v>63</v>
      </c>
      <c r="E4">
        <v>1</v>
      </c>
      <c r="F4">
        <v>1</v>
      </c>
      <c r="G4">
        <v>0</v>
      </c>
      <c r="H4" t="s">
        <v>63</v>
      </c>
      <c r="I4">
        <v>1</v>
      </c>
      <c r="J4">
        <v>1.5497392999823201</v>
      </c>
      <c r="K4" t="s">
        <v>60</v>
      </c>
      <c r="L4">
        <v>0</v>
      </c>
      <c r="M4">
        <v>1</v>
      </c>
      <c r="N4">
        <v>1</v>
      </c>
      <c r="O4">
        <v>1</v>
      </c>
      <c r="P4">
        <v>3.9712412999942899</v>
      </c>
      <c r="U4">
        <v>3.96914370002923</v>
      </c>
      <c r="V4">
        <v>3.9712412999942899</v>
      </c>
      <c r="W4">
        <v>4.48334299999987</v>
      </c>
      <c r="X4">
        <v>4.48334299999987</v>
      </c>
      <c r="Y4">
        <v>4.48334299999987</v>
      </c>
      <c r="Z4">
        <v>6.0498164000455201</v>
      </c>
      <c r="AA4" t="s">
        <v>63</v>
      </c>
      <c r="AB4">
        <v>1</v>
      </c>
      <c r="AC4">
        <v>1.5497392999823201</v>
      </c>
      <c r="AD4" t="s">
        <v>60</v>
      </c>
      <c r="AI4" t="s">
        <v>3</v>
      </c>
      <c r="AJ4">
        <v>1</v>
      </c>
      <c r="AK4" t="s">
        <v>81</v>
      </c>
      <c r="AL4" t="s">
        <v>53</v>
      </c>
      <c r="AN4" t="s">
        <v>54</v>
      </c>
      <c r="AO4">
        <v>59.891859258221302</v>
      </c>
      <c r="AP4" t="s">
        <v>82</v>
      </c>
    </row>
    <row r="5" spans="1:42" x14ac:dyDescent="0.3">
      <c r="A5" t="s">
        <v>61</v>
      </c>
      <c r="B5" t="s">
        <v>57</v>
      </c>
      <c r="C5" t="s">
        <v>64</v>
      </c>
      <c r="D5" t="s">
        <v>59</v>
      </c>
      <c r="E5">
        <v>2</v>
      </c>
      <c r="F5">
        <v>2</v>
      </c>
      <c r="G5">
        <v>0</v>
      </c>
      <c r="H5" t="s">
        <v>63</v>
      </c>
      <c r="I5">
        <v>0</v>
      </c>
      <c r="J5">
        <v>1.0554888999904499</v>
      </c>
      <c r="K5" t="s">
        <v>60</v>
      </c>
      <c r="L5">
        <v>0</v>
      </c>
      <c r="M5">
        <v>2</v>
      </c>
      <c r="N5">
        <v>2</v>
      </c>
      <c r="O5">
        <v>2</v>
      </c>
      <c r="P5">
        <v>6.0656294000218596</v>
      </c>
      <c r="U5">
        <v>6.0600051000365003</v>
      </c>
      <c r="V5">
        <v>6.0656294000218596</v>
      </c>
      <c r="W5">
        <v>6.5652756000053998</v>
      </c>
      <c r="X5">
        <v>6.5652756000053998</v>
      </c>
      <c r="Y5">
        <v>6.5652756000053998</v>
      </c>
      <c r="Z5">
        <v>7.6320043000159696</v>
      </c>
      <c r="AA5" t="s">
        <v>63</v>
      </c>
      <c r="AB5">
        <v>0</v>
      </c>
      <c r="AC5">
        <v>1.0554888999904499</v>
      </c>
      <c r="AD5" t="s">
        <v>60</v>
      </c>
      <c r="AI5" t="s">
        <v>3</v>
      </c>
      <c r="AJ5">
        <v>1</v>
      </c>
      <c r="AK5" t="s">
        <v>81</v>
      </c>
      <c r="AL5" t="s">
        <v>53</v>
      </c>
      <c r="AN5" t="s">
        <v>54</v>
      </c>
      <c r="AO5">
        <v>59.891859258221302</v>
      </c>
      <c r="AP5" t="s">
        <v>82</v>
      </c>
    </row>
    <row r="6" spans="1:42" x14ac:dyDescent="0.3">
      <c r="A6" t="s">
        <v>61</v>
      </c>
      <c r="B6" t="s">
        <v>62</v>
      </c>
      <c r="C6" t="s">
        <v>58</v>
      </c>
      <c r="D6" t="s">
        <v>63</v>
      </c>
      <c r="E6">
        <v>3</v>
      </c>
      <c r="F6">
        <v>3</v>
      </c>
      <c r="G6">
        <v>0</v>
      </c>
      <c r="H6" t="s">
        <v>63</v>
      </c>
      <c r="I6">
        <v>1</v>
      </c>
      <c r="J6">
        <v>1.44279760000063</v>
      </c>
      <c r="K6" t="s">
        <v>60</v>
      </c>
      <c r="L6">
        <v>0</v>
      </c>
      <c r="M6">
        <v>3</v>
      </c>
      <c r="N6">
        <v>3</v>
      </c>
      <c r="O6">
        <v>3</v>
      </c>
      <c r="P6">
        <v>7.6480068000382699</v>
      </c>
      <c r="U6">
        <v>7.6329450000193901</v>
      </c>
      <c r="V6">
        <v>7.6480068000382699</v>
      </c>
      <c r="W6">
        <v>8.1309852999984198</v>
      </c>
      <c r="X6">
        <v>8.1309852999984198</v>
      </c>
      <c r="Y6">
        <v>8.1309852999984198</v>
      </c>
      <c r="Z6">
        <v>9.5806615999899805</v>
      </c>
      <c r="AA6" t="s">
        <v>63</v>
      </c>
      <c r="AB6">
        <v>1</v>
      </c>
      <c r="AC6">
        <v>1.44279760000063</v>
      </c>
      <c r="AD6" t="s">
        <v>60</v>
      </c>
      <c r="AI6" t="s">
        <v>3</v>
      </c>
      <c r="AJ6">
        <v>1</v>
      </c>
      <c r="AK6" t="s">
        <v>81</v>
      </c>
      <c r="AL6" t="s">
        <v>53</v>
      </c>
      <c r="AN6" t="s">
        <v>54</v>
      </c>
      <c r="AO6">
        <v>59.891859258221302</v>
      </c>
      <c r="AP6" t="s">
        <v>82</v>
      </c>
    </row>
    <row r="7" spans="1:42" x14ac:dyDescent="0.3">
      <c r="A7" t="s">
        <v>61</v>
      </c>
      <c r="B7" t="s">
        <v>57</v>
      </c>
      <c r="C7" t="s">
        <v>64</v>
      </c>
      <c r="D7" t="s">
        <v>59</v>
      </c>
      <c r="E7">
        <v>4</v>
      </c>
      <c r="F7">
        <v>0</v>
      </c>
      <c r="G7">
        <v>1</v>
      </c>
      <c r="H7" t="s">
        <v>59</v>
      </c>
      <c r="I7">
        <v>1</v>
      </c>
      <c r="J7">
        <v>0.99414710002020001</v>
      </c>
      <c r="K7" t="s">
        <v>60</v>
      </c>
      <c r="L7">
        <v>1</v>
      </c>
      <c r="M7">
        <v>0</v>
      </c>
      <c r="N7">
        <v>4</v>
      </c>
      <c r="O7">
        <v>2</v>
      </c>
      <c r="P7">
        <v>9.5968473000102605</v>
      </c>
      <c r="U7">
        <v>9.5816154000349307</v>
      </c>
      <c r="V7">
        <v>9.5968473000102605</v>
      </c>
      <c r="W7">
        <v>10.0961046000011</v>
      </c>
      <c r="X7">
        <v>10.0961046000011</v>
      </c>
      <c r="Y7">
        <v>10.0961046000011</v>
      </c>
      <c r="Z7">
        <v>11.0965417000115</v>
      </c>
      <c r="AA7" t="s">
        <v>59</v>
      </c>
      <c r="AB7">
        <v>1</v>
      </c>
      <c r="AC7">
        <v>0.99414710002020001</v>
      </c>
      <c r="AD7" t="s">
        <v>60</v>
      </c>
      <c r="AI7" t="s">
        <v>3</v>
      </c>
      <c r="AJ7">
        <v>1</v>
      </c>
      <c r="AK7" t="s">
        <v>81</v>
      </c>
      <c r="AL7" t="s">
        <v>53</v>
      </c>
      <c r="AN7" t="s">
        <v>54</v>
      </c>
      <c r="AO7">
        <v>59.891859258221302</v>
      </c>
      <c r="AP7" t="s">
        <v>82</v>
      </c>
    </row>
    <row r="8" spans="1:42" x14ac:dyDescent="0.3">
      <c r="A8" t="s">
        <v>56</v>
      </c>
      <c r="B8" t="s">
        <v>57</v>
      </c>
      <c r="C8" t="s">
        <v>58</v>
      </c>
      <c r="D8" t="s">
        <v>59</v>
      </c>
      <c r="E8">
        <v>5</v>
      </c>
      <c r="F8">
        <v>1</v>
      </c>
      <c r="G8">
        <v>1</v>
      </c>
      <c r="H8" t="s">
        <v>59</v>
      </c>
      <c r="I8">
        <v>1</v>
      </c>
      <c r="J8">
        <v>0.90328999998746395</v>
      </c>
      <c r="K8" t="s">
        <v>60</v>
      </c>
      <c r="L8">
        <v>1</v>
      </c>
      <c r="M8">
        <v>1</v>
      </c>
      <c r="N8">
        <v>5</v>
      </c>
      <c r="O8">
        <v>0</v>
      </c>
      <c r="P8">
        <v>11.1124094999977</v>
      </c>
      <c r="U8">
        <v>11.1007817999925</v>
      </c>
      <c r="V8">
        <v>11.1124094999977</v>
      </c>
      <c r="W8">
        <v>11.6121799999964</v>
      </c>
      <c r="X8">
        <v>11.6121799999964</v>
      </c>
      <c r="Y8">
        <v>11.6121799999964</v>
      </c>
      <c r="Z8">
        <v>12.528701900038801</v>
      </c>
      <c r="AA8" t="s">
        <v>59</v>
      </c>
      <c r="AB8">
        <v>1</v>
      </c>
      <c r="AC8">
        <v>0.90328999998746395</v>
      </c>
      <c r="AD8" t="s">
        <v>60</v>
      </c>
      <c r="AI8" t="s">
        <v>3</v>
      </c>
      <c r="AJ8">
        <v>1</v>
      </c>
      <c r="AK8" t="s">
        <v>81</v>
      </c>
      <c r="AL8" t="s">
        <v>53</v>
      </c>
      <c r="AN8" t="s">
        <v>54</v>
      </c>
      <c r="AO8">
        <v>59.891859258221302</v>
      </c>
      <c r="AP8" t="s">
        <v>82</v>
      </c>
    </row>
    <row r="9" spans="1:42" x14ac:dyDescent="0.3">
      <c r="A9" t="s">
        <v>56</v>
      </c>
      <c r="B9" t="s">
        <v>62</v>
      </c>
      <c r="C9" t="s">
        <v>64</v>
      </c>
      <c r="D9" t="s">
        <v>63</v>
      </c>
      <c r="E9">
        <v>6</v>
      </c>
      <c r="F9">
        <v>2</v>
      </c>
      <c r="G9">
        <v>1</v>
      </c>
      <c r="H9" t="s">
        <v>63</v>
      </c>
      <c r="I9">
        <v>1</v>
      </c>
      <c r="J9">
        <v>0.89929039997514304</v>
      </c>
      <c r="K9" t="s">
        <v>60</v>
      </c>
      <c r="L9">
        <v>1</v>
      </c>
      <c r="M9">
        <v>2</v>
      </c>
      <c r="N9">
        <v>6</v>
      </c>
      <c r="O9">
        <v>1</v>
      </c>
      <c r="P9">
        <v>12.5449295000289</v>
      </c>
      <c r="U9">
        <v>12.529657700040801</v>
      </c>
      <c r="V9">
        <v>12.5449295000289</v>
      </c>
      <c r="W9">
        <v>13.044623200024899</v>
      </c>
      <c r="X9">
        <v>13.044623200024899</v>
      </c>
      <c r="Y9">
        <v>13.044623200024899</v>
      </c>
      <c r="Z9">
        <v>13.9446952000143</v>
      </c>
      <c r="AA9" t="s">
        <v>63</v>
      </c>
      <c r="AB9">
        <v>1</v>
      </c>
      <c r="AC9">
        <v>0.89929039997514304</v>
      </c>
      <c r="AD9" t="s">
        <v>60</v>
      </c>
      <c r="AI9" t="s">
        <v>3</v>
      </c>
      <c r="AJ9">
        <v>1</v>
      </c>
      <c r="AK9" t="s">
        <v>81</v>
      </c>
      <c r="AL9" t="s">
        <v>53</v>
      </c>
      <c r="AN9" t="s">
        <v>54</v>
      </c>
      <c r="AO9">
        <v>59.891859258221302</v>
      </c>
      <c r="AP9" t="s">
        <v>82</v>
      </c>
    </row>
    <row r="10" spans="1:42" x14ac:dyDescent="0.3">
      <c r="A10" t="s">
        <v>61</v>
      </c>
      <c r="B10" t="s">
        <v>62</v>
      </c>
      <c r="C10" t="s">
        <v>58</v>
      </c>
      <c r="D10" t="s">
        <v>63</v>
      </c>
      <c r="E10">
        <v>7</v>
      </c>
      <c r="F10">
        <v>3</v>
      </c>
      <c r="G10">
        <v>1</v>
      </c>
      <c r="H10" t="s">
        <v>63</v>
      </c>
      <c r="I10">
        <v>1</v>
      </c>
      <c r="J10">
        <v>0.66632379998918601</v>
      </c>
      <c r="K10" t="s">
        <v>60</v>
      </c>
      <c r="L10">
        <v>1</v>
      </c>
      <c r="M10">
        <v>3</v>
      </c>
      <c r="N10">
        <v>7</v>
      </c>
      <c r="O10">
        <v>3</v>
      </c>
      <c r="P10">
        <v>13.960623999999299</v>
      </c>
      <c r="U10">
        <v>13.9493018999928</v>
      </c>
      <c r="V10">
        <v>13.960623999999299</v>
      </c>
      <c r="W10">
        <v>14.4601640999899</v>
      </c>
      <c r="X10">
        <v>14.4601640999899</v>
      </c>
      <c r="Y10">
        <v>14.4601640999899</v>
      </c>
      <c r="Z10">
        <v>15.127512100036199</v>
      </c>
      <c r="AA10" t="s">
        <v>63</v>
      </c>
      <c r="AB10">
        <v>1</v>
      </c>
      <c r="AC10">
        <v>0.66632379998918601</v>
      </c>
      <c r="AD10" t="s">
        <v>60</v>
      </c>
      <c r="AI10" t="s">
        <v>3</v>
      </c>
      <c r="AJ10">
        <v>1</v>
      </c>
      <c r="AK10" t="s">
        <v>81</v>
      </c>
      <c r="AL10" t="s">
        <v>53</v>
      </c>
      <c r="AN10" t="s">
        <v>54</v>
      </c>
      <c r="AO10">
        <v>59.891859258221302</v>
      </c>
      <c r="AP10" t="s">
        <v>82</v>
      </c>
    </row>
    <row r="11" spans="1:42" x14ac:dyDescent="0.3">
      <c r="A11" t="s">
        <v>61</v>
      </c>
      <c r="B11" t="s">
        <v>57</v>
      </c>
      <c r="C11" t="s">
        <v>64</v>
      </c>
      <c r="D11" t="s">
        <v>59</v>
      </c>
      <c r="E11">
        <v>8</v>
      </c>
      <c r="F11">
        <v>0</v>
      </c>
      <c r="G11">
        <v>2</v>
      </c>
      <c r="H11" t="s">
        <v>59</v>
      </c>
      <c r="I11">
        <v>1</v>
      </c>
      <c r="J11">
        <v>1.14087330002803</v>
      </c>
      <c r="K11" t="s">
        <v>60</v>
      </c>
      <c r="L11">
        <v>2</v>
      </c>
      <c r="M11">
        <v>0</v>
      </c>
      <c r="N11">
        <v>8</v>
      </c>
      <c r="O11">
        <v>2</v>
      </c>
      <c r="P11">
        <v>15.143264100013701</v>
      </c>
      <c r="U11">
        <v>15.128394300001601</v>
      </c>
      <c r="V11">
        <v>15.143264100013701</v>
      </c>
      <c r="W11">
        <v>15.642902999999899</v>
      </c>
      <c r="X11">
        <v>15.642902999999899</v>
      </c>
      <c r="Y11">
        <v>15.642902999999899</v>
      </c>
      <c r="Z11">
        <v>16.792813600040901</v>
      </c>
      <c r="AA11" t="s">
        <v>59</v>
      </c>
      <c r="AB11">
        <v>1</v>
      </c>
      <c r="AC11">
        <v>1.14087330002803</v>
      </c>
      <c r="AD11" t="s">
        <v>60</v>
      </c>
      <c r="AI11" t="s">
        <v>3</v>
      </c>
      <c r="AJ11">
        <v>1</v>
      </c>
      <c r="AK11" t="s">
        <v>81</v>
      </c>
      <c r="AL11" t="s">
        <v>53</v>
      </c>
      <c r="AN11" t="s">
        <v>54</v>
      </c>
      <c r="AO11">
        <v>59.891859258221302</v>
      </c>
      <c r="AP11" t="s">
        <v>82</v>
      </c>
    </row>
    <row r="12" spans="1:42" x14ac:dyDescent="0.3">
      <c r="A12" t="s">
        <v>56</v>
      </c>
      <c r="B12" t="s">
        <v>57</v>
      </c>
      <c r="C12" t="s">
        <v>58</v>
      </c>
      <c r="D12" t="s">
        <v>59</v>
      </c>
      <c r="E12">
        <v>9</v>
      </c>
      <c r="F12">
        <v>1</v>
      </c>
      <c r="G12">
        <v>2</v>
      </c>
      <c r="H12" t="s">
        <v>59</v>
      </c>
      <c r="I12">
        <v>1</v>
      </c>
      <c r="J12">
        <v>0.52325440000277001</v>
      </c>
      <c r="K12" t="s">
        <v>60</v>
      </c>
      <c r="L12">
        <v>2</v>
      </c>
      <c r="M12">
        <v>1</v>
      </c>
      <c r="N12">
        <v>9</v>
      </c>
      <c r="O12">
        <v>0</v>
      </c>
      <c r="P12">
        <v>16.808802000014101</v>
      </c>
      <c r="U12">
        <v>16.796699600003102</v>
      </c>
      <c r="V12">
        <v>16.808802000014101</v>
      </c>
      <c r="W12">
        <v>17.308556900010402</v>
      </c>
      <c r="X12">
        <v>17.308556900010402</v>
      </c>
      <c r="Y12">
        <v>17.308556900010402</v>
      </c>
      <c r="Z12">
        <v>17.842231500020699</v>
      </c>
      <c r="AA12" t="s">
        <v>59</v>
      </c>
      <c r="AB12">
        <v>1</v>
      </c>
      <c r="AC12">
        <v>0.52325440000277001</v>
      </c>
      <c r="AD12" t="s">
        <v>60</v>
      </c>
      <c r="AI12" t="s">
        <v>3</v>
      </c>
      <c r="AJ12">
        <v>1</v>
      </c>
      <c r="AK12" t="s">
        <v>81</v>
      </c>
      <c r="AL12" t="s">
        <v>53</v>
      </c>
      <c r="AN12" t="s">
        <v>54</v>
      </c>
      <c r="AO12">
        <v>59.891859258221302</v>
      </c>
      <c r="AP12" t="s">
        <v>82</v>
      </c>
    </row>
    <row r="13" spans="1:42" x14ac:dyDescent="0.3">
      <c r="A13" t="s">
        <v>56</v>
      </c>
      <c r="B13" t="s">
        <v>62</v>
      </c>
      <c r="C13" t="s">
        <v>64</v>
      </c>
      <c r="D13" t="s">
        <v>63</v>
      </c>
      <c r="E13">
        <v>10</v>
      </c>
      <c r="F13">
        <v>2</v>
      </c>
      <c r="G13">
        <v>2</v>
      </c>
      <c r="H13" t="s">
        <v>63</v>
      </c>
      <c r="I13">
        <v>1</v>
      </c>
      <c r="J13">
        <v>1.0459967000060699</v>
      </c>
      <c r="K13" t="s">
        <v>60</v>
      </c>
      <c r="L13">
        <v>2</v>
      </c>
      <c r="M13">
        <v>2</v>
      </c>
      <c r="N13">
        <v>10</v>
      </c>
      <c r="O13">
        <v>1</v>
      </c>
      <c r="P13">
        <v>17.858221500006</v>
      </c>
      <c r="U13">
        <v>17.843151400040298</v>
      </c>
      <c r="V13">
        <v>17.858221500006</v>
      </c>
      <c r="W13">
        <v>18.357892600004501</v>
      </c>
      <c r="X13">
        <v>18.357892600004501</v>
      </c>
      <c r="Y13">
        <v>18.357892600004501</v>
      </c>
      <c r="Z13">
        <v>19.407898500037799</v>
      </c>
      <c r="AA13" t="s">
        <v>63</v>
      </c>
      <c r="AB13">
        <v>1</v>
      </c>
      <c r="AC13">
        <v>1.0459967000060699</v>
      </c>
      <c r="AD13" t="s">
        <v>60</v>
      </c>
      <c r="AI13" t="s">
        <v>3</v>
      </c>
      <c r="AJ13">
        <v>1</v>
      </c>
      <c r="AK13" t="s">
        <v>81</v>
      </c>
      <c r="AL13" t="s">
        <v>53</v>
      </c>
      <c r="AN13" t="s">
        <v>54</v>
      </c>
      <c r="AO13">
        <v>59.891859258221302</v>
      </c>
      <c r="AP13" t="s">
        <v>82</v>
      </c>
    </row>
    <row r="14" spans="1:42" x14ac:dyDescent="0.3">
      <c r="A14" t="s">
        <v>61</v>
      </c>
      <c r="B14" t="s">
        <v>62</v>
      </c>
      <c r="C14" t="s">
        <v>58</v>
      </c>
      <c r="D14" t="s">
        <v>63</v>
      </c>
      <c r="E14">
        <v>11</v>
      </c>
      <c r="F14">
        <v>3</v>
      </c>
      <c r="G14">
        <v>2</v>
      </c>
      <c r="H14" t="s">
        <v>63</v>
      </c>
      <c r="I14">
        <v>1</v>
      </c>
      <c r="J14">
        <v>0.38581249996786898</v>
      </c>
      <c r="K14" t="s">
        <v>60</v>
      </c>
      <c r="L14">
        <v>2</v>
      </c>
      <c r="M14">
        <v>3</v>
      </c>
      <c r="N14">
        <v>11</v>
      </c>
      <c r="O14">
        <v>3</v>
      </c>
      <c r="P14">
        <v>19.423842100019101</v>
      </c>
      <c r="U14">
        <v>19.412252100009901</v>
      </c>
      <c r="V14">
        <v>19.423842100019101</v>
      </c>
      <c r="W14">
        <v>19.923501000041099</v>
      </c>
      <c r="X14">
        <v>19.923501000041099</v>
      </c>
      <c r="Y14">
        <v>19.923501000041099</v>
      </c>
      <c r="Z14">
        <v>20.3236609000014</v>
      </c>
      <c r="AA14" t="s">
        <v>63</v>
      </c>
      <c r="AB14">
        <v>1</v>
      </c>
      <c r="AC14">
        <v>0.38581249996786898</v>
      </c>
      <c r="AD14" t="s">
        <v>60</v>
      </c>
      <c r="AI14" t="s">
        <v>3</v>
      </c>
      <c r="AJ14">
        <v>1</v>
      </c>
      <c r="AK14" t="s">
        <v>81</v>
      </c>
      <c r="AL14" t="s">
        <v>53</v>
      </c>
      <c r="AN14" t="s">
        <v>54</v>
      </c>
      <c r="AO14">
        <v>59.891859258221302</v>
      </c>
      <c r="AP14" t="s">
        <v>82</v>
      </c>
    </row>
    <row r="15" spans="1:42" x14ac:dyDescent="0.3">
      <c r="A15" t="s">
        <v>56</v>
      </c>
      <c r="B15" t="s">
        <v>62</v>
      </c>
      <c r="C15" t="s">
        <v>64</v>
      </c>
      <c r="D15" t="s">
        <v>63</v>
      </c>
      <c r="E15">
        <v>12</v>
      </c>
      <c r="F15">
        <v>0</v>
      </c>
      <c r="G15">
        <v>3</v>
      </c>
      <c r="H15" t="s">
        <v>63</v>
      </c>
      <c r="I15">
        <v>1</v>
      </c>
      <c r="J15">
        <v>1.01344670000253</v>
      </c>
      <c r="K15" t="s">
        <v>60</v>
      </c>
      <c r="L15">
        <v>3</v>
      </c>
      <c r="M15">
        <v>0</v>
      </c>
      <c r="N15">
        <v>12</v>
      </c>
      <c r="O15">
        <v>1</v>
      </c>
      <c r="P15">
        <v>20.339695500035301</v>
      </c>
      <c r="U15">
        <v>20.327437700005198</v>
      </c>
      <c r="V15">
        <v>20.339695500035301</v>
      </c>
      <c r="W15">
        <v>20.822812600003001</v>
      </c>
      <c r="X15">
        <v>20.822812600003001</v>
      </c>
      <c r="Y15">
        <v>20.822812600003001</v>
      </c>
      <c r="Z15">
        <v>21.8394315000041</v>
      </c>
      <c r="AA15" t="s">
        <v>63</v>
      </c>
      <c r="AB15">
        <v>1</v>
      </c>
      <c r="AC15">
        <v>1.01344670000253</v>
      </c>
      <c r="AD15" t="s">
        <v>60</v>
      </c>
      <c r="AI15" t="s">
        <v>3</v>
      </c>
      <c r="AJ15">
        <v>1</v>
      </c>
      <c r="AK15" t="s">
        <v>81</v>
      </c>
      <c r="AL15" t="s">
        <v>53</v>
      </c>
      <c r="AN15" t="s">
        <v>54</v>
      </c>
      <c r="AO15">
        <v>59.891859258221302</v>
      </c>
      <c r="AP15" t="s">
        <v>82</v>
      </c>
    </row>
    <row r="16" spans="1:42" x14ac:dyDescent="0.3">
      <c r="A16" t="s">
        <v>61</v>
      </c>
      <c r="B16" t="s">
        <v>62</v>
      </c>
      <c r="C16" t="s">
        <v>58</v>
      </c>
      <c r="D16" t="s">
        <v>63</v>
      </c>
      <c r="E16">
        <v>13</v>
      </c>
      <c r="F16">
        <v>1</v>
      </c>
      <c r="G16">
        <v>3</v>
      </c>
      <c r="H16" t="s">
        <v>63</v>
      </c>
      <c r="I16">
        <v>1</v>
      </c>
      <c r="J16">
        <v>0.52483470004517496</v>
      </c>
      <c r="K16" t="s">
        <v>60</v>
      </c>
      <c r="L16">
        <v>3</v>
      </c>
      <c r="M16">
        <v>1</v>
      </c>
      <c r="N16">
        <v>13</v>
      </c>
      <c r="O16">
        <v>3</v>
      </c>
      <c r="P16">
        <v>21.855578800023</v>
      </c>
      <c r="U16">
        <v>21.843928800022599</v>
      </c>
      <c r="V16">
        <v>21.855578800023</v>
      </c>
      <c r="W16">
        <v>22.3387184000457</v>
      </c>
      <c r="X16">
        <v>22.3387184000457</v>
      </c>
      <c r="Y16">
        <v>22.3387184000457</v>
      </c>
      <c r="Z16">
        <v>22.872221700032199</v>
      </c>
      <c r="AA16" t="s">
        <v>63</v>
      </c>
      <c r="AB16">
        <v>1</v>
      </c>
      <c r="AC16">
        <v>0.52483470004517496</v>
      </c>
      <c r="AD16" t="s">
        <v>60</v>
      </c>
      <c r="AI16" t="s">
        <v>3</v>
      </c>
      <c r="AJ16">
        <v>1</v>
      </c>
      <c r="AK16" t="s">
        <v>81</v>
      </c>
      <c r="AL16" t="s">
        <v>53</v>
      </c>
      <c r="AN16" t="s">
        <v>54</v>
      </c>
      <c r="AO16">
        <v>59.891859258221302</v>
      </c>
      <c r="AP16" t="s">
        <v>82</v>
      </c>
    </row>
    <row r="17" spans="1:42" x14ac:dyDescent="0.3">
      <c r="A17" t="s">
        <v>61</v>
      </c>
      <c r="B17" t="s">
        <v>57</v>
      </c>
      <c r="C17" t="s">
        <v>64</v>
      </c>
      <c r="D17" t="s">
        <v>59</v>
      </c>
      <c r="E17">
        <v>14</v>
      </c>
      <c r="F17">
        <v>2</v>
      </c>
      <c r="G17">
        <v>3</v>
      </c>
      <c r="H17" t="s">
        <v>59</v>
      </c>
      <c r="I17">
        <v>1</v>
      </c>
      <c r="J17">
        <v>0.82318949996260904</v>
      </c>
      <c r="K17" t="s">
        <v>60</v>
      </c>
      <c r="L17">
        <v>3</v>
      </c>
      <c r="M17">
        <v>2</v>
      </c>
      <c r="N17">
        <v>14</v>
      </c>
      <c r="O17">
        <v>2</v>
      </c>
      <c r="P17">
        <v>22.888347900006899</v>
      </c>
      <c r="U17">
        <v>22.873075900017199</v>
      </c>
      <c r="V17">
        <v>22.888347900006899</v>
      </c>
      <c r="W17">
        <v>23.3713759999955</v>
      </c>
      <c r="X17">
        <v>23.3713759999955</v>
      </c>
      <c r="Y17">
        <v>23.3713759999955</v>
      </c>
      <c r="Z17">
        <v>24.2047594999894</v>
      </c>
      <c r="AA17" t="s">
        <v>59</v>
      </c>
      <c r="AB17">
        <v>1</v>
      </c>
      <c r="AC17">
        <v>0.82318949996260904</v>
      </c>
      <c r="AD17" t="s">
        <v>60</v>
      </c>
      <c r="AI17" t="s">
        <v>3</v>
      </c>
      <c r="AJ17">
        <v>1</v>
      </c>
      <c r="AK17" t="s">
        <v>81</v>
      </c>
      <c r="AL17" t="s">
        <v>53</v>
      </c>
      <c r="AN17" t="s">
        <v>54</v>
      </c>
      <c r="AO17">
        <v>59.891859258221302</v>
      </c>
      <c r="AP17" t="s">
        <v>82</v>
      </c>
    </row>
    <row r="18" spans="1:42" x14ac:dyDescent="0.3">
      <c r="A18" t="s">
        <v>56</v>
      </c>
      <c r="B18" t="s">
        <v>57</v>
      </c>
      <c r="C18" t="s">
        <v>58</v>
      </c>
      <c r="D18" t="s">
        <v>59</v>
      </c>
      <c r="E18">
        <v>15</v>
      </c>
      <c r="F18">
        <v>3</v>
      </c>
      <c r="G18">
        <v>3</v>
      </c>
      <c r="H18" t="s">
        <v>59</v>
      </c>
      <c r="I18">
        <v>1</v>
      </c>
      <c r="J18">
        <v>0.35396610002499002</v>
      </c>
      <c r="K18" t="s">
        <v>60</v>
      </c>
      <c r="L18">
        <v>3</v>
      </c>
      <c r="M18">
        <v>3</v>
      </c>
      <c r="N18">
        <v>15</v>
      </c>
      <c r="O18">
        <v>0</v>
      </c>
      <c r="P18">
        <v>24.22074780002</v>
      </c>
      <c r="U18">
        <v>24.209177600045201</v>
      </c>
      <c r="V18">
        <v>24.22074780002</v>
      </c>
      <c r="W18">
        <v>24.7038517000037</v>
      </c>
      <c r="X18">
        <v>24.7038517000037</v>
      </c>
      <c r="Y18">
        <v>24.7038517000037</v>
      </c>
      <c r="Z18">
        <v>25.070761300041301</v>
      </c>
      <c r="AA18" t="s">
        <v>59</v>
      </c>
      <c r="AB18">
        <v>1</v>
      </c>
      <c r="AC18">
        <v>0.35396610002499002</v>
      </c>
      <c r="AD18" t="s">
        <v>60</v>
      </c>
      <c r="AI18" t="s">
        <v>3</v>
      </c>
      <c r="AJ18">
        <v>1</v>
      </c>
      <c r="AK18" t="s">
        <v>81</v>
      </c>
      <c r="AL18" t="s">
        <v>53</v>
      </c>
      <c r="AN18" t="s">
        <v>54</v>
      </c>
      <c r="AO18">
        <v>59.891859258221302</v>
      </c>
      <c r="AP18" t="s">
        <v>82</v>
      </c>
    </row>
    <row r="19" spans="1:42" x14ac:dyDescent="0.3">
      <c r="A19" t="s">
        <v>56</v>
      </c>
      <c r="B19" t="s">
        <v>62</v>
      </c>
      <c r="C19" t="s">
        <v>64</v>
      </c>
      <c r="D19" t="s">
        <v>63</v>
      </c>
      <c r="E19">
        <v>16</v>
      </c>
      <c r="F19">
        <v>0</v>
      </c>
      <c r="G19">
        <v>4</v>
      </c>
      <c r="H19" t="s">
        <v>63</v>
      </c>
      <c r="I19">
        <v>1</v>
      </c>
      <c r="J19">
        <v>0.79235639999387697</v>
      </c>
      <c r="K19" t="s">
        <v>60</v>
      </c>
      <c r="L19">
        <v>4</v>
      </c>
      <c r="M19">
        <v>0</v>
      </c>
      <c r="N19">
        <v>16</v>
      </c>
      <c r="O19">
        <v>1</v>
      </c>
      <c r="P19">
        <v>25.086939600005199</v>
      </c>
      <c r="U19">
        <v>25.071638200024601</v>
      </c>
      <c r="V19">
        <v>25.086939600005199</v>
      </c>
      <c r="W19">
        <v>25.569919600035</v>
      </c>
      <c r="X19">
        <v>25.569919600035</v>
      </c>
      <c r="Y19">
        <v>25.569919600035</v>
      </c>
      <c r="Z19">
        <v>26.369832099997399</v>
      </c>
      <c r="AA19" t="s">
        <v>63</v>
      </c>
      <c r="AB19">
        <v>1</v>
      </c>
      <c r="AC19">
        <v>0.79235639999387697</v>
      </c>
      <c r="AD19" t="s">
        <v>60</v>
      </c>
      <c r="AI19" t="s">
        <v>3</v>
      </c>
      <c r="AJ19">
        <v>1</v>
      </c>
      <c r="AK19" t="s">
        <v>81</v>
      </c>
      <c r="AL19" t="s">
        <v>53</v>
      </c>
      <c r="AN19" t="s">
        <v>54</v>
      </c>
      <c r="AO19">
        <v>59.891859258221302</v>
      </c>
      <c r="AP19" t="s">
        <v>82</v>
      </c>
    </row>
    <row r="20" spans="1:42" x14ac:dyDescent="0.3">
      <c r="A20" t="s">
        <v>61</v>
      </c>
      <c r="B20" t="s">
        <v>57</v>
      </c>
      <c r="C20" t="s">
        <v>64</v>
      </c>
      <c r="D20" t="s">
        <v>59</v>
      </c>
      <c r="E20">
        <v>17</v>
      </c>
      <c r="F20">
        <v>1</v>
      </c>
      <c r="G20">
        <v>4</v>
      </c>
      <c r="H20" t="s">
        <v>59</v>
      </c>
      <c r="I20">
        <v>1</v>
      </c>
      <c r="J20">
        <v>0.98241280001820996</v>
      </c>
      <c r="K20" t="s">
        <v>60</v>
      </c>
      <c r="L20">
        <v>4</v>
      </c>
      <c r="M20">
        <v>1</v>
      </c>
      <c r="N20">
        <v>17</v>
      </c>
      <c r="O20">
        <v>2</v>
      </c>
      <c r="P20">
        <v>26.386012700037099</v>
      </c>
      <c r="U20">
        <v>26.3743139000143</v>
      </c>
      <c r="V20">
        <v>26.386012700037099</v>
      </c>
      <c r="W20">
        <v>26.869100100011501</v>
      </c>
      <c r="X20">
        <v>26.869100100011501</v>
      </c>
      <c r="Y20">
        <v>26.869100100011501</v>
      </c>
      <c r="Z20">
        <v>27.852810800017298</v>
      </c>
      <c r="AA20" t="s">
        <v>59</v>
      </c>
      <c r="AB20">
        <v>1</v>
      </c>
      <c r="AC20">
        <v>0.98241280001820996</v>
      </c>
      <c r="AD20" t="s">
        <v>60</v>
      </c>
      <c r="AI20" t="s">
        <v>3</v>
      </c>
      <c r="AJ20">
        <v>1</v>
      </c>
      <c r="AK20" t="s">
        <v>81</v>
      </c>
      <c r="AL20" t="s">
        <v>53</v>
      </c>
      <c r="AN20" t="s">
        <v>54</v>
      </c>
      <c r="AO20">
        <v>59.891859258221302</v>
      </c>
      <c r="AP20" t="s">
        <v>82</v>
      </c>
    </row>
    <row r="21" spans="1:42" x14ac:dyDescent="0.3">
      <c r="A21" t="s">
        <v>56</v>
      </c>
      <c r="B21" t="s">
        <v>57</v>
      </c>
      <c r="C21" t="s">
        <v>58</v>
      </c>
      <c r="D21" t="s">
        <v>59</v>
      </c>
      <c r="E21">
        <v>18</v>
      </c>
      <c r="F21">
        <v>2</v>
      </c>
      <c r="G21">
        <v>4</v>
      </c>
      <c r="H21" t="s">
        <v>59</v>
      </c>
      <c r="I21">
        <v>1</v>
      </c>
      <c r="J21">
        <v>0.56459579995134801</v>
      </c>
      <c r="K21" t="s">
        <v>60</v>
      </c>
      <c r="L21">
        <v>4</v>
      </c>
      <c r="M21">
        <v>2</v>
      </c>
      <c r="N21">
        <v>18</v>
      </c>
      <c r="O21">
        <v>0</v>
      </c>
      <c r="P21">
        <v>27.868469600041799</v>
      </c>
      <c r="U21">
        <v>27.857265400001701</v>
      </c>
      <c r="V21">
        <v>27.868469600041799</v>
      </c>
      <c r="W21">
        <v>28.3681343999924</v>
      </c>
      <c r="X21">
        <v>28.3681343999924</v>
      </c>
      <c r="Y21">
        <v>28.3681343999924</v>
      </c>
      <c r="Z21">
        <v>28.935002200014399</v>
      </c>
      <c r="AA21" t="s">
        <v>59</v>
      </c>
      <c r="AB21">
        <v>1</v>
      </c>
      <c r="AC21">
        <v>0.56459579995134801</v>
      </c>
      <c r="AD21" t="s">
        <v>60</v>
      </c>
      <c r="AI21" t="s">
        <v>3</v>
      </c>
      <c r="AJ21">
        <v>1</v>
      </c>
      <c r="AK21" t="s">
        <v>81</v>
      </c>
      <c r="AL21" t="s">
        <v>53</v>
      </c>
      <c r="AN21" t="s">
        <v>54</v>
      </c>
      <c r="AO21">
        <v>59.891859258221302</v>
      </c>
      <c r="AP21" t="s">
        <v>82</v>
      </c>
    </row>
    <row r="22" spans="1:42" x14ac:dyDescent="0.3">
      <c r="A22" t="s">
        <v>61</v>
      </c>
      <c r="B22" t="s">
        <v>62</v>
      </c>
      <c r="C22" t="s">
        <v>58</v>
      </c>
      <c r="D22" t="s">
        <v>63</v>
      </c>
      <c r="E22">
        <v>19</v>
      </c>
      <c r="F22">
        <v>3</v>
      </c>
      <c r="G22">
        <v>4</v>
      </c>
      <c r="H22" t="s">
        <v>63</v>
      </c>
      <c r="I22">
        <v>1</v>
      </c>
      <c r="J22">
        <v>0.76697160000912801</v>
      </c>
      <c r="K22" t="s">
        <v>60</v>
      </c>
      <c r="L22">
        <v>4</v>
      </c>
      <c r="M22">
        <v>3</v>
      </c>
      <c r="N22">
        <v>19</v>
      </c>
      <c r="O22">
        <v>3</v>
      </c>
      <c r="P22">
        <v>28.951147300016601</v>
      </c>
      <c r="U22">
        <v>28.939073300047301</v>
      </c>
      <c r="V22">
        <v>28.951147300016601</v>
      </c>
      <c r="W22">
        <v>29.4341760000097</v>
      </c>
      <c r="X22">
        <v>29.4341760000097</v>
      </c>
      <c r="Y22">
        <v>29.4341760000097</v>
      </c>
      <c r="Z22">
        <v>30.217670999991199</v>
      </c>
      <c r="AA22" t="s">
        <v>63</v>
      </c>
      <c r="AB22">
        <v>1</v>
      </c>
      <c r="AC22">
        <v>0.76697160000912801</v>
      </c>
      <c r="AD22" t="s">
        <v>60</v>
      </c>
      <c r="AI22" t="s">
        <v>3</v>
      </c>
      <c r="AJ22">
        <v>1</v>
      </c>
      <c r="AK22" t="s">
        <v>81</v>
      </c>
      <c r="AL22" t="s">
        <v>53</v>
      </c>
      <c r="AN22" t="s">
        <v>54</v>
      </c>
      <c r="AO22">
        <v>59.891859258221302</v>
      </c>
      <c r="AP22" t="s">
        <v>82</v>
      </c>
    </row>
    <row r="23" spans="1:42" x14ac:dyDescent="0.3">
      <c r="A23" t="s">
        <v>56</v>
      </c>
      <c r="B23" t="s">
        <v>62</v>
      </c>
      <c r="C23" t="s">
        <v>64</v>
      </c>
      <c r="D23" t="s">
        <v>63</v>
      </c>
      <c r="E23">
        <v>20</v>
      </c>
      <c r="F23">
        <v>0</v>
      </c>
      <c r="G23">
        <v>5</v>
      </c>
      <c r="H23" t="s">
        <v>63</v>
      </c>
      <c r="I23">
        <v>1</v>
      </c>
      <c r="J23">
        <v>0.75199409999186095</v>
      </c>
      <c r="K23" t="s">
        <v>60</v>
      </c>
      <c r="L23">
        <v>5</v>
      </c>
      <c r="M23">
        <v>0</v>
      </c>
      <c r="N23">
        <v>20</v>
      </c>
      <c r="O23">
        <v>1</v>
      </c>
      <c r="P23">
        <v>30.233699800039101</v>
      </c>
      <c r="U23">
        <v>30.2220193000393</v>
      </c>
      <c r="V23">
        <v>30.233699800039101</v>
      </c>
      <c r="W23">
        <v>30.733352800016199</v>
      </c>
      <c r="X23">
        <v>30.733352800016199</v>
      </c>
      <c r="Y23">
        <v>30.733352800016199</v>
      </c>
      <c r="Z23">
        <v>31.500135000038402</v>
      </c>
      <c r="AA23" t="s">
        <v>63</v>
      </c>
      <c r="AB23">
        <v>1</v>
      </c>
      <c r="AC23">
        <v>0.75199409999186095</v>
      </c>
      <c r="AD23" t="s">
        <v>60</v>
      </c>
      <c r="AI23" t="s">
        <v>3</v>
      </c>
      <c r="AJ23">
        <v>1</v>
      </c>
      <c r="AK23" t="s">
        <v>81</v>
      </c>
      <c r="AL23" t="s">
        <v>53</v>
      </c>
      <c r="AN23" t="s">
        <v>54</v>
      </c>
      <c r="AO23">
        <v>59.891859258221302</v>
      </c>
      <c r="AP23" t="s">
        <v>82</v>
      </c>
    </row>
    <row r="24" spans="1:42" x14ac:dyDescent="0.3">
      <c r="A24" t="s">
        <v>61</v>
      </c>
      <c r="B24" t="s">
        <v>57</v>
      </c>
      <c r="C24" t="s">
        <v>64</v>
      </c>
      <c r="D24" t="s">
        <v>59</v>
      </c>
      <c r="E24">
        <v>21</v>
      </c>
      <c r="F24">
        <v>1</v>
      </c>
      <c r="G24">
        <v>5</v>
      </c>
      <c r="H24" t="s">
        <v>59</v>
      </c>
      <c r="I24">
        <v>1</v>
      </c>
      <c r="J24">
        <v>0.70048170001246002</v>
      </c>
      <c r="K24" t="s">
        <v>60</v>
      </c>
      <c r="L24">
        <v>5</v>
      </c>
      <c r="M24">
        <v>1</v>
      </c>
      <c r="N24">
        <v>21</v>
      </c>
      <c r="O24">
        <v>2</v>
      </c>
      <c r="P24">
        <v>31.516055400017599</v>
      </c>
      <c r="U24">
        <v>31.504215000022601</v>
      </c>
      <c r="V24">
        <v>31.516055400017599</v>
      </c>
      <c r="W24">
        <v>31.999214900017201</v>
      </c>
      <c r="X24">
        <v>31.999214900017201</v>
      </c>
      <c r="Y24">
        <v>31.999214900017201</v>
      </c>
      <c r="Z24">
        <v>32.716036300000198</v>
      </c>
      <c r="AA24" t="s">
        <v>59</v>
      </c>
      <c r="AB24">
        <v>1</v>
      </c>
      <c r="AC24">
        <v>0.70048170001246002</v>
      </c>
      <c r="AD24" t="s">
        <v>60</v>
      </c>
      <c r="AI24" t="s">
        <v>3</v>
      </c>
      <c r="AJ24">
        <v>1</v>
      </c>
      <c r="AK24" t="s">
        <v>81</v>
      </c>
      <c r="AL24" t="s">
        <v>53</v>
      </c>
      <c r="AN24" t="s">
        <v>54</v>
      </c>
      <c r="AO24">
        <v>59.891859258221302</v>
      </c>
      <c r="AP24" t="s">
        <v>82</v>
      </c>
    </row>
    <row r="25" spans="1:42" x14ac:dyDescent="0.3">
      <c r="A25" t="s">
        <v>56</v>
      </c>
      <c r="B25" t="s">
        <v>57</v>
      </c>
      <c r="C25" t="s">
        <v>58</v>
      </c>
      <c r="D25" t="s">
        <v>59</v>
      </c>
      <c r="E25">
        <v>22</v>
      </c>
      <c r="F25">
        <v>2</v>
      </c>
      <c r="G25">
        <v>5</v>
      </c>
      <c r="H25" t="s">
        <v>59</v>
      </c>
      <c r="I25">
        <v>1</v>
      </c>
      <c r="J25">
        <v>0.45451750000938701</v>
      </c>
      <c r="K25" t="s">
        <v>60</v>
      </c>
      <c r="L25">
        <v>5</v>
      </c>
      <c r="M25">
        <v>2</v>
      </c>
      <c r="N25">
        <v>22</v>
      </c>
      <c r="O25">
        <v>0</v>
      </c>
      <c r="P25">
        <v>32.732123700028701</v>
      </c>
      <c r="U25">
        <v>32.720600500004302</v>
      </c>
      <c r="V25">
        <v>32.732123700028701</v>
      </c>
      <c r="W25">
        <v>33.231617400015203</v>
      </c>
      <c r="X25">
        <v>33.231617400015203</v>
      </c>
      <c r="Y25">
        <v>33.231617400015203</v>
      </c>
      <c r="Z25">
        <v>33.698806400003299</v>
      </c>
      <c r="AA25" t="s">
        <v>59</v>
      </c>
      <c r="AB25">
        <v>1</v>
      </c>
      <c r="AC25">
        <v>0.45451750000938701</v>
      </c>
      <c r="AD25" t="s">
        <v>60</v>
      </c>
      <c r="AI25" t="s">
        <v>3</v>
      </c>
      <c r="AJ25">
        <v>1</v>
      </c>
      <c r="AK25" t="s">
        <v>81</v>
      </c>
      <c r="AL25" t="s">
        <v>53</v>
      </c>
      <c r="AN25" t="s">
        <v>54</v>
      </c>
      <c r="AO25">
        <v>59.891859258221302</v>
      </c>
      <c r="AP25" t="s">
        <v>82</v>
      </c>
    </row>
    <row r="26" spans="1:42" x14ac:dyDescent="0.3">
      <c r="A26" t="s">
        <v>61</v>
      </c>
      <c r="B26" t="s">
        <v>62</v>
      </c>
      <c r="C26" t="s">
        <v>58</v>
      </c>
      <c r="D26" t="s">
        <v>63</v>
      </c>
      <c r="E26">
        <v>23</v>
      </c>
      <c r="F26">
        <v>3</v>
      </c>
      <c r="G26">
        <v>5</v>
      </c>
      <c r="H26" t="s">
        <v>63</v>
      </c>
      <c r="I26">
        <v>1</v>
      </c>
      <c r="J26">
        <v>0.75627309997798797</v>
      </c>
      <c r="K26" t="s">
        <v>60</v>
      </c>
      <c r="L26">
        <v>5</v>
      </c>
      <c r="M26">
        <v>3</v>
      </c>
      <c r="N26">
        <v>23</v>
      </c>
      <c r="O26">
        <v>3</v>
      </c>
      <c r="P26">
        <v>33.714734500041203</v>
      </c>
      <c r="U26">
        <v>33.703066100017097</v>
      </c>
      <c r="V26">
        <v>33.714734500041203</v>
      </c>
      <c r="W26">
        <v>34.214388900029</v>
      </c>
      <c r="X26">
        <v>34.214388900029</v>
      </c>
      <c r="Y26">
        <v>34.214388900029</v>
      </c>
      <c r="Z26">
        <v>34.981297600024803</v>
      </c>
      <c r="AA26" t="s">
        <v>63</v>
      </c>
      <c r="AB26">
        <v>1</v>
      </c>
      <c r="AC26">
        <v>0.75627309997798797</v>
      </c>
      <c r="AD26" t="s">
        <v>60</v>
      </c>
      <c r="AI26" t="s">
        <v>3</v>
      </c>
      <c r="AJ26">
        <v>1</v>
      </c>
      <c r="AK26" t="s">
        <v>81</v>
      </c>
      <c r="AL26" t="s">
        <v>53</v>
      </c>
      <c r="AN26" t="s">
        <v>54</v>
      </c>
      <c r="AO26">
        <v>59.891859258221302</v>
      </c>
      <c r="AP26" t="s">
        <v>82</v>
      </c>
    </row>
    <row r="27" spans="1:42" x14ac:dyDescent="0.3">
      <c r="A27" t="s">
        <v>56</v>
      </c>
      <c r="B27" t="s">
        <v>62</v>
      </c>
      <c r="C27" t="s">
        <v>64</v>
      </c>
      <c r="D27" t="s">
        <v>63</v>
      </c>
      <c r="E27">
        <v>24</v>
      </c>
      <c r="F27">
        <v>0</v>
      </c>
      <c r="G27">
        <v>6</v>
      </c>
      <c r="H27" t="s">
        <v>63</v>
      </c>
      <c r="I27">
        <v>1</v>
      </c>
      <c r="J27">
        <v>1.3154383999644701</v>
      </c>
      <c r="K27" t="s">
        <v>60</v>
      </c>
      <c r="L27">
        <v>6</v>
      </c>
      <c r="M27">
        <v>0</v>
      </c>
      <c r="N27">
        <v>24</v>
      </c>
      <c r="O27">
        <v>1</v>
      </c>
      <c r="P27">
        <v>34.997334700019501</v>
      </c>
      <c r="U27">
        <v>34.985889700008499</v>
      </c>
      <c r="V27">
        <v>34.997334700019501</v>
      </c>
      <c r="W27">
        <v>35.496999900031298</v>
      </c>
      <c r="X27">
        <v>35.496999900031298</v>
      </c>
      <c r="Y27">
        <v>35.496999900031298</v>
      </c>
      <c r="Z27">
        <v>36.813656100013702</v>
      </c>
      <c r="AA27" t="s">
        <v>63</v>
      </c>
      <c r="AB27">
        <v>1</v>
      </c>
      <c r="AC27">
        <v>1.3154383999644701</v>
      </c>
      <c r="AD27" t="s">
        <v>60</v>
      </c>
      <c r="AI27" t="s">
        <v>3</v>
      </c>
      <c r="AJ27">
        <v>1</v>
      </c>
      <c r="AK27" t="s">
        <v>81</v>
      </c>
      <c r="AL27" t="s">
        <v>53</v>
      </c>
      <c r="AN27" t="s">
        <v>54</v>
      </c>
      <c r="AO27">
        <v>59.891859258221302</v>
      </c>
      <c r="AP27" t="s">
        <v>82</v>
      </c>
    </row>
    <row r="28" spans="1:42" x14ac:dyDescent="0.3">
      <c r="A28" t="s">
        <v>61</v>
      </c>
      <c r="B28" t="s">
        <v>62</v>
      </c>
      <c r="C28" t="s">
        <v>58</v>
      </c>
      <c r="D28" t="s">
        <v>63</v>
      </c>
      <c r="E28">
        <v>25</v>
      </c>
      <c r="F28">
        <v>1</v>
      </c>
      <c r="G28">
        <v>6</v>
      </c>
      <c r="H28" t="s">
        <v>63</v>
      </c>
      <c r="I28">
        <v>1</v>
      </c>
      <c r="J28">
        <v>0.66077660000882998</v>
      </c>
      <c r="K28" t="s">
        <v>60</v>
      </c>
      <c r="L28">
        <v>6</v>
      </c>
      <c r="M28">
        <v>1</v>
      </c>
      <c r="N28">
        <v>25</v>
      </c>
      <c r="O28">
        <v>3</v>
      </c>
      <c r="P28">
        <v>36.829518400016198</v>
      </c>
      <c r="U28">
        <v>36.8181341000017</v>
      </c>
      <c r="V28">
        <v>36.829518400016198</v>
      </c>
      <c r="W28">
        <v>37.329181800014297</v>
      </c>
      <c r="X28">
        <v>37.329181800014297</v>
      </c>
      <c r="Y28">
        <v>37.329181800014297</v>
      </c>
      <c r="Z28">
        <v>37.996013100026097</v>
      </c>
      <c r="AA28" t="s">
        <v>63</v>
      </c>
      <c r="AB28">
        <v>1</v>
      </c>
      <c r="AC28">
        <v>0.66077660000882998</v>
      </c>
      <c r="AD28" t="s">
        <v>60</v>
      </c>
      <c r="AI28" t="s">
        <v>3</v>
      </c>
      <c r="AJ28">
        <v>1</v>
      </c>
      <c r="AK28" t="s">
        <v>81</v>
      </c>
      <c r="AL28" t="s">
        <v>53</v>
      </c>
      <c r="AN28" t="s">
        <v>54</v>
      </c>
      <c r="AO28">
        <v>59.891859258221302</v>
      </c>
      <c r="AP28" t="s">
        <v>82</v>
      </c>
    </row>
    <row r="29" spans="1:42" x14ac:dyDescent="0.3">
      <c r="A29" t="s">
        <v>61</v>
      </c>
      <c r="B29" t="s">
        <v>57</v>
      </c>
      <c r="C29" t="s">
        <v>64</v>
      </c>
      <c r="D29" t="s">
        <v>59</v>
      </c>
      <c r="E29">
        <v>26</v>
      </c>
      <c r="F29">
        <v>2</v>
      </c>
      <c r="G29">
        <v>6</v>
      </c>
      <c r="H29" t="s">
        <v>59</v>
      </c>
      <c r="I29">
        <v>1</v>
      </c>
      <c r="J29">
        <v>0.69450860004871995</v>
      </c>
      <c r="K29" t="s">
        <v>60</v>
      </c>
      <c r="L29">
        <v>6</v>
      </c>
      <c r="M29">
        <v>2</v>
      </c>
      <c r="N29">
        <v>26</v>
      </c>
      <c r="O29">
        <v>2</v>
      </c>
      <c r="P29">
        <v>38.012007500045002</v>
      </c>
      <c r="U29">
        <v>37.9969108999939</v>
      </c>
      <c r="V29">
        <v>38.012007500045002</v>
      </c>
      <c r="W29">
        <v>38.495097800041499</v>
      </c>
      <c r="X29">
        <v>38.495097800041499</v>
      </c>
      <c r="Y29">
        <v>38.495097800041499</v>
      </c>
      <c r="Z29">
        <v>39.195170100021599</v>
      </c>
      <c r="AA29" t="s">
        <v>59</v>
      </c>
      <c r="AB29">
        <v>1</v>
      </c>
      <c r="AC29">
        <v>0.69450860004871995</v>
      </c>
      <c r="AD29" t="s">
        <v>60</v>
      </c>
      <c r="AI29" t="s">
        <v>3</v>
      </c>
      <c r="AJ29">
        <v>1</v>
      </c>
      <c r="AK29" t="s">
        <v>81</v>
      </c>
      <c r="AL29" t="s">
        <v>53</v>
      </c>
      <c r="AN29" t="s">
        <v>54</v>
      </c>
      <c r="AO29">
        <v>59.891859258221302</v>
      </c>
      <c r="AP29" t="s">
        <v>82</v>
      </c>
    </row>
    <row r="30" spans="1:42" x14ac:dyDescent="0.3">
      <c r="A30" t="s">
        <v>56</v>
      </c>
      <c r="B30" t="s">
        <v>57</v>
      </c>
      <c r="C30" t="s">
        <v>58</v>
      </c>
      <c r="D30" t="s">
        <v>59</v>
      </c>
      <c r="E30">
        <v>27</v>
      </c>
      <c r="F30">
        <v>3</v>
      </c>
      <c r="G30">
        <v>6</v>
      </c>
      <c r="H30" t="s">
        <v>59</v>
      </c>
      <c r="I30">
        <v>1</v>
      </c>
      <c r="J30">
        <v>0.360154499998316</v>
      </c>
      <c r="K30" t="s">
        <v>60</v>
      </c>
      <c r="L30">
        <v>6</v>
      </c>
      <c r="M30">
        <v>3</v>
      </c>
      <c r="N30">
        <v>27</v>
      </c>
      <c r="O30">
        <v>0</v>
      </c>
      <c r="P30">
        <v>39.211216900031999</v>
      </c>
      <c r="U30">
        <v>39.199122500023797</v>
      </c>
      <c r="V30">
        <v>39.211216900031999</v>
      </c>
      <c r="W30">
        <v>39.694277100032103</v>
      </c>
      <c r="X30">
        <v>39.694277100032103</v>
      </c>
      <c r="Y30">
        <v>39.694277100032103</v>
      </c>
      <c r="Z30">
        <v>40.0612479000119</v>
      </c>
      <c r="AA30" t="s">
        <v>59</v>
      </c>
      <c r="AB30">
        <v>1</v>
      </c>
      <c r="AC30">
        <v>0.360154499998316</v>
      </c>
      <c r="AD30" t="s">
        <v>60</v>
      </c>
      <c r="AI30" t="s">
        <v>3</v>
      </c>
      <c r="AJ30">
        <v>1</v>
      </c>
      <c r="AK30" t="s">
        <v>81</v>
      </c>
      <c r="AL30" t="s">
        <v>53</v>
      </c>
      <c r="AN30" t="s">
        <v>54</v>
      </c>
      <c r="AO30">
        <v>59.891859258221302</v>
      </c>
      <c r="AP30" t="s">
        <v>82</v>
      </c>
    </row>
    <row r="31" spans="1:42" x14ac:dyDescent="0.3">
      <c r="A31" t="s">
        <v>56</v>
      </c>
      <c r="B31" t="s">
        <v>57</v>
      </c>
      <c r="C31" t="s">
        <v>58</v>
      </c>
      <c r="D31" t="s">
        <v>59</v>
      </c>
      <c r="E31">
        <v>28</v>
      </c>
      <c r="F31">
        <v>0</v>
      </c>
      <c r="G31">
        <v>7</v>
      </c>
      <c r="H31" t="s">
        <v>59</v>
      </c>
      <c r="I31">
        <v>1</v>
      </c>
      <c r="J31">
        <v>0.32751069997902899</v>
      </c>
      <c r="K31" t="s">
        <v>60</v>
      </c>
      <c r="L31">
        <v>7</v>
      </c>
      <c r="M31">
        <v>0</v>
      </c>
      <c r="N31">
        <v>28</v>
      </c>
      <c r="O31">
        <v>0</v>
      </c>
      <c r="P31">
        <v>40.077471500029702</v>
      </c>
      <c r="U31">
        <v>40.062237700039901</v>
      </c>
      <c r="V31">
        <v>40.077471500029702</v>
      </c>
      <c r="W31">
        <v>40.560400400019702</v>
      </c>
      <c r="X31">
        <v>40.560400400019702</v>
      </c>
      <c r="Y31">
        <v>40.560400400019702</v>
      </c>
      <c r="Z31">
        <v>40.894272300007202</v>
      </c>
      <c r="AA31" t="s">
        <v>59</v>
      </c>
      <c r="AB31">
        <v>1</v>
      </c>
      <c r="AC31">
        <v>0.32751069997902899</v>
      </c>
      <c r="AD31" t="s">
        <v>60</v>
      </c>
      <c r="AI31" t="s">
        <v>3</v>
      </c>
      <c r="AJ31">
        <v>1</v>
      </c>
      <c r="AK31" t="s">
        <v>81</v>
      </c>
      <c r="AL31" t="s">
        <v>53</v>
      </c>
      <c r="AN31" t="s">
        <v>54</v>
      </c>
      <c r="AO31">
        <v>59.891859258221302</v>
      </c>
      <c r="AP31" t="s">
        <v>82</v>
      </c>
    </row>
    <row r="32" spans="1:42" x14ac:dyDescent="0.3">
      <c r="A32" t="s">
        <v>61</v>
      </c>
      <c r="B32" t="s">
        <v>57</v>
      </c>
      <c r="C32" t="s">
        <v>64</v>
      </c>
      <c r="D32" t="s">
        <v>59</v>
      </c>
      <c r="E32">
        <v>29</v>
      </c>
      <c r="F32">
        <v>1</v>
      </c>
      <c r="G32">
        <v>7</v>
      </c>
      <c r="H32" t="s">
        <v>59</v>
      </c>
      <c r="I32">
        <v>1</v>
      </c>
      <c r="J32">
        <v>0.439948000013828</v>
      </c>
      <c r="K32" t="s">
        <v>60</v>
      </c>
      <c r="L32">
        <v>7</v>
      </c>
      <c r="M32">
        <v>1</v>
      </c>
      <c r="N32">
        <v>29</v>
      </c>
      <c r="O32">
        <v>2</v>
      </c>
      <c r="P32">
        <v>40.910195900010798</v>
      </c>
      <c r="U32">
        <v>40.898750699998303</v>
      </c>
      <c r="V32">
        <v>40.910195900010798</v>
      </c>
      <c r="W32">
        <v>41.409844300011102</v>
      </c>
      <c r="X32">
        <v>41.409844300011102</v>
      </c>
      <c r="Y32">
        <v>41.409844300011102</v>
      </c>
      <c r="Z32">
        <v>41.860232700011601</v>
      </c>
      <c r="AA32" t="s">
        <v>59</v>
      </c>
      <c r="AB32">
        <v>1</v>
      </c>
      <c r="AC32">
        <v>0.439948000013828</v>
      </c>
      <c r="AD32" t="s">
        <v>60</v>
      </c>
      <c r="AI32" t="s">
        <v>3</v>
      </c>
      <c r="AJ32">
        <v>1</v>
      </c>
      <c r="AK32" t="s">
        <v>81</v>
      </c>
      <c r="AL32" t="s">
        <v>53</v>
      </c>
      <c r="AN32" t="s">
        <v>54</v>
      </c>
      <c r="AO32">
        <v>59.891859258221302</v>
      </c>
      <c r="AP32" t="s">
        <v>82</v>
      </c>
    </row>
    <row r="33" spans="1:42" x14ac:dyDescent="0.3">
      <c r="A33" t="s">
        <v>61</v>
      </c>
      <c r="B33" t="s">
        <v>62</v>
      </c>
      <c r="C33" t="s">
        <v>58</v>
      </c>
      <c r="D33" t="s">
        <v>63</v>
      </c>
      <c r="E33">
        <v>30</v>
      </c>
      <c r="F33">
        <v>2</v>
      </c>
      <c r="G33">
        <v>7</v>
      </c>
      <c r="H33" t="s">
        <v>63</v>
      </c>
      <c r="I33">
        <v>1</v>
      </c>
      <c r="J33">
        <v>0.66735359997255705</v>
      </c>
      <c r="K33" t="s">
        <v>60</v>
      </c>
      <c r="L33">
        <v>7</v>
      </c>
      <c r="M33">
        <v>2</v>
      </c>
      <c r="N33">
        <v>30</v>
      </c>
      <c r="O33">
        <v>3</v>
      </c>
      <c r="P33">
        <v>41.876123199996002</v>
      </c>
      <c r="U33">
        <v>41.8610761000309</v>
      </c>
      <c r="V33">
        <v>41.876123199996002</v>
      </c>
      <c r="W33">
        <v>42.359293700021198</v>
      </c>
      <c r="X33">
        <v>42.359293700021198</v>
      </c>
      <c r="Y33">
        <v>42.359293700021198</v>
      </c>
      <c r="Z33">
        <v>43.042796200024803</v>
      </c>
      <c r="AA33" t="s">
        <v>63</v>
      </c>
      <c r="AB33">
        <v>1</v>
      </c>
      <c r="AC33">
        <v>0.66735359997255705</v>
      </c>
      <c r="AD33" t="s">
        <v>60</v>
      </c>
      <c r="AI33" t="s">
        <v>3</v>
      </c>
      <c r="AJ33">
        <v>1</v>
      </c>
      <c r="AK33" t="s">
        <v>81</v>
      </c>
      <c r="AL33" t="s">
        <v>53</v>
      </c>
      <c r="AN33" t="s">
        <v>54</v>
      </c>
      <c r="AO33">
        <v>59.891859258221302</v>
      </c>
      <c r="AP33" t="s">
        <v>82</v>
      </c>
    </row>
    <row r="34" spans="1:42" x14ac:dyDescent="0.3">
      <c r="A34" t="s">
        <v>56</v>
      </c>
      <c r="B34" t="s">
        <v>62</v>
      </c>
      <c r="C34" t="s">
        <v>64</v>
      </c>
      <c r="D34" t="s">
        <v>63</v>
      </c>
      <c r="E34">
        <v>31</v>
      </c>
      <c r="F34">
        <v>3</v>
      </c>
      <c r="G34">
        <v>7</v>
      </c>
      <c r="H34" t="s">
        <v>63</v>
      </c>
      <c r="I34">
        <v>1</v>
      </c>
      <c r="J34">
        <v>0.46639630000572602</v>
      </c>
      <c r="K34" t="s">
        <v>60</v>
      </c>
      <c r="L34">
        <v>7</v>
      </c>
      <c r="M34">
        <v>3</v>
      </c>
      <c r="N34">
        <v>31</v>
      </c>
      <c r="O34">
        <v>1</v>
      </c>
      <c r="P34">
        <v>43.058815399999702</v>
      </c>
      <c r="U34">
        <v>43.047170500038099</v>
      </c>
      <c r="V34">
        <v>43.058815399999702</v>
      </c>
      <c r="W34">
        <v>43.558436400024199</v>
      </c>
      <c r="X34">
        <v>43.558436400024199</v>
      </c>
      <c r="Y34">
        <v>43.558436400024199</v>
      </c>
      <c r="Z34">
        <v>44.0254192000138</v>
      </c>
      <c r="AA34" t="s">
        <v>63</v>
      </c>
      <c r="AB34">
        <v>1</v>
      </c>
      <c r="AC34">
        <v>0.46639630000572602</v>
      </c>
      <c r="AD34" t="s">
        <v>60</v>
      </c>
      <c r="AI34" t="s">
        <v>3</v>
      </c>
      <c r="AJ34">
        <v>1</v>
      </c>
      <c r="AK34" t="s">
        <v>81</v>
      </c>
      <c r="AL34" t="s">
        <v>53</v>
      </c>
      <c r="AN34" t="s">
        <v>54</v>
      </c>
      <c r="AO34">
        <v>59.891859258221302</v>
      </c>
      <c r="AP34" t="s">
        <v>82</v>
      </c>
    </row>
    <row r="35" spans="1:42" x14ac:dyDescent="0.3">
      <c r="A35" t="s">
        <v>56</v>
      </c>
      <c r="B35" t="s">
        <v>57</v>
      </c>
      <c r="C35" t="s">
        <v>58</v>
      </c>
      <c r="D35" t="s">
        <v>59</v>
      </c>
      <c r="E35">
        <v>32</v>
      </c>
      <c r="F35">
        <v>0</v>
      </c>
      <c r="G35">
        <v>8</v>
      </c>
      <c r="H35" t="s">
        <v>59</v>
      </c>
      <c r="I35">
        <v>1</v>
      </c>
      <c r="J35">
        <v>0.677200400037691</v>
      </c>
      <c r="K35" t="s">
        <v>60</v>
      </c>
      <c r="L35">
        <v>8</v>
      </c>
      <c r="M35">
        <v>0</v>
      </c>
      <c r="N35">
        <v>32</v>
      </c>
      <c r="O35">
        <v>0</v>
      </c>
      <c r="P35">
        <v>44.041509700007701</v>
      </c>
      <c r="U35">
        <v>44.026372899999799</v>
      </c>
      <c r="V35">
        <v>44.041509700007701</v>
      </c>
      <c r="W35">
        <v>44.524475200043497</v>
      </c>
      <c r="X35">
        <v>44.524475200043497</v>
      </c>
      <c r="Y35">
        <v>44.524475200043497</v>
      </c>
      <c r="Z35">
        <v>45.208094900008199</v>
      </c>
      <c r="AA35" t="s">
        <v>59</v>
      </c>
      <c r="AB35">
        <v>1</v>
      </c>
      <c r="AC35">
        <v>0.677200400037691</v>
      </c>
      <c r="AD35" t="s">
        <v>60</v>
      </c>
      <c r="AI35" t="s">
        <v>3</v>
      </c>
      <c r="AJ35">
        <v>1</v>
      </c>
      <c r="AK35" t="s">
        <v>81</v>
      </c>
      <c r="AL35" t="s">
        <v>53</v>
      </c>
      <c r="AN35" t="s">
        <v>54</v>
      </c>
      <c r="AO35">
        <v>59.891859258221302</v>
      </c>
      <c r="AP35" t="s">
        <v>82</v>
      </c>
    </row>
    <row r="36" spans="1:42" x14ac:dyDescent="0.3">
      <c r="A36" t="s">
        <v>61</v>
      </c>
      <c r="B36" t="s">
        <v>57</v>
      </c>
      <c r="C36" t="s">
        <v>64</v>
      </c>
      <c r="D36" t="s">
        <v>59</v>
      </c>
      <c r="E36">
        <v>33</v>
      </c>
      <c r="F36">
        <v>1</v>
      </c>
      <c r="G36">
        <v>8</v>
      </c>
      <c r="H36" t="s">
        <v>59</v>
      </c>
      <c r="I36">
        <v>1</v>
      </c>
      <c r="J36">
        <v>0.51117289997637205</v>
      </c>
      <c r="K36" t="s">
        <v>60</v>
      </c>
      <c r="L36">
        <v>8</v>
      </c>
      <c r="M36">
        <v>1</v>
      </c>
      <c r="N36">
        <v>33</v>
      </c>
      <c r="O36">
        <v>2</v>
      </c>
      <c r="P36">
        <v>45.223974300024501</v>
      </c>
      <c r="U36">
        <v>45.2121424000361</v>
      </c>
      <c r="V36">
        <v>45.223974300024501</v>
      </c>
      <c r="W36">
        <v>45.707147600012803</v>
      </c>
      <c r="X36">
        <v>45.707147600012803</v>
      </c>
      <c r="Y36">
        <v>45.707147600012803</v>
      </c>
      <c r="Z36">
        <v>46.224159400037003</v>
      </c>
      <c r="AA36" t="s">
        <v>59</v>
      </c>
      <c r="AB36">
        <v>1</v>
      </c>
      <c r="AC36">
        <v>0.51117289997637205</v>
      </c>
      <c r="AD36" t="s">
        <v>60</v>
      </c>
      <c r="AI36" t="s">
        <v>3</v>
      </c>
      <c r="AJ36">
        <v>1</v>
      </c>
      <c r="AK36" t="s">
        <v>81</v>
      </c>
      <c r="AL36" t="s">
        <v>53</v>
      </c>
      <c r="AN36" t="s">
        <v>54</v>
      </c>
      <c r="AO36">
        <v>59.891859258221302</v>
      </c>
      <c r="AP36" t="s">
        <v>82</v>
      </c>
    </row>
    <row r="37" spans="1:42" x14ac:dyDescent="0.3">
      <c r="A37" t="s">
        <v>61</v>
      </c>
      <c r="B37" t="s">
        <v>62</v>
      </c>
      <c r="C37" t="s">
        <v>58</v>
      </c>
      <c r="D37" t="s">
        <v>63</v>
      </c>
      <c r="E37">
        <v>34</v>
      </c>
      <c r="F37">
        <v>2</v>
      </c>
      <c r="G37">
        <v>8</v>
      </c>
      <c r="H37" t="s">
        <v>63</v>
      </c>
      <c r="I37">
        <v>1</v>
      </c>
      <c r="J37">
        <v>0.74959580000722703</v>
      </c>
      <c r="K37" t="s">
        <v>60</v>
      </c>
      <c r="L37">
        <v>8</v>
      </c>
      <c r="M37">
        <v>2</v>
      </c>
      <c r="N37">
        <v>34</v>
      </c>
      <c r="O37">
        <v>3</v>
      </c>
      <c r="P37">
        <v>46.240204700035903</v>
      </c>
      <c r="U37">
        <v>46.2250594000215</v>
      </c>
      <c r="V37">
        <v>46.240204700035903</v>
      </c>
      <c r="W37">
        <v>46.739872600010102</v>
      </c>
      <c r="X37">
        <v>46.739872600010102</v>
      </c>
      <c r="Y37">
        <v>46.739872600010102</v>
      </c>
      <c r="Z37">
        <v>47.490237999998499</v>
      </c>
      <c r="AA37" t="s">
        <v>63</v>
      </c>
      <c r="AB37">
        <v>1</v>
      </c>
      <c r="AC37">
        <v>0.74959580000722703</v>
      </c>
      <c r="AD37" t="s">
        <v>60</v>
      </c>
      <c r="AI37" t="s">
        <v>3</v>
      </c>
      <c r="AJ37">
        <v>1</v>
      </c>
      <c r="AK37" t="s">
        <v>81</v>
      </c>
      <c r="AL37" t="s">
        <v>53</v>
      </c>
      <c r="AN37" t="s">
        <v>54</v>
      </c>
      <c r="AO37">
        <v>59.891859258221302</v>
      </c>
      <c r="AP37" t="s">
        <v>82</v>
      </c>
    </row>
    <row r="38" spans="1:42" x14ac:dyDescent="0.3">
      <c r="A38" t="s">
        <v>56</v>
      </c>
      <c r="B38" t="s">
        <v>62</v>
      </c>
      <c r="C38" t="s">
        <v>64</v>
      </c>
      <c r="D38" t="s">
        <v>63</v>
      </c>
      <c r="E38">
        <v>35</v>
      </c>
      <c r="F38">
        <v>3</v>
      </c>
      <c r="G38">
        <v>8</v>
      </c>
      <c r="H38" t="s">
        <v>63</v>
      </c>
      <c r="I38">
        <v>1</v>
      </c>
      <c r="J38">
        <v>0.59450440004002303</v>
      </c>
      <c r="K38" t="s">
        <v>60</v>
      </c>
      <c r="L38">
        <v>8</v>
      </c>
      <c r="M38">
        <v>3</v>
      </c>
      <c r="N38">
        <v>35</v>
      </c>
      <c r="O38">
        <v>1</v>
      </c>
      <c r="P38">
        <v>47.5059808000223</v>
      </c>
      <c r="U38">
        <v>47.494594099989598</v>
      </c>
      <c r="V38">
        <v>47.5059808000223</v>
      </c>
      <c r="W38">
        <v>48.005528600013299</v>
      </c>
      <c r="X38">
        <v>48.005528600013299</v>
      </c>
      <c r="Y38">
        <v>48.005528600013299</v>
      </c>
      <c r="Z38">
        <v>48.605900900030903</v>
      </c>
      <c r="AA38" t="s">
        <v>63</v>
      </c>
      <c r="AB38">
        <v>1</v>
      </c>
      <c r="AC38">
        <v>0.59450440004002303</v>
      </c>
      <c r="AD38" t="s">
        <v>60</v>
      </c>
      <c r="AI38" t="s">
        <v>3</v>
      </c>
      <c r="AJ38">
        <v>1</v>
      </c>
      <c r="AK38" t="s">
        <v>81</v>
      </c>
      <c r="AL38" t="s">
        <v>53</v>
      </c>
      <c r="AN38" t="s">
        <v>54</v>
      </c>
      <c r="AO38">
        <v>59.891859258221302</v>
      </c>
      <c r="AP38" t="s">
        <v>82</v>
      </c>
    </row>
    <row r="39" spans="1:42" x14ac:dyDescent="0.3">
      <c r="A39" t="s">
        <v>61</v>
      </c>
      <c r="B39" t="s">
        <v>57</v>
      </c>
      <c r="C39" t="s">
        <v>64</v>
      </c>
      <c r="D39" t="s">
        <v>59</v>
      </c>
      <c r="E39">
        <v>36</v>
      </c>
      <c r="F39">
        <v>0</v>
      </c>
      <c r="G39">
        <v>9</v>
      </c>
      <c r="H39" t="s">
        <v>59</v>
      </c>
      <c r="I39">
        <v>1</v>
      </c>
      <c r="J39">
        <v>0.76175210002111204</v>
      </c>
      <c r="K39" t="s">
        <v>60</v>
      </c>
      <c r="L39">
        <v>9</v>
      </c>
      <c r="M39">
        <v>0</v>
      </c>
      <c r="N39">
        <v>36</v>
      </c>
      <c r="O39">
        <v>2</v>
      </c>
      <c r="P39">
        <v>48.6220159000367</v>
      </c>
      <c r="U39">
        <v>48.610115399991599</v>
      </c>
      <c r="V39">
        <v>48.6220159000367</v>
      </c>
      <c r="W39">
        <v>49.104979099996797</v>
      </c>
      <c r="X39">
        <v>49.104979099996797</v>
      </c>
      <c r="Y39">
        <v>49.104979099996797</v>
      </c>
      <c r="Z39">
        <v>49.871847900038098</v>
      </c>
      <c r="AA39" t="s">
        <v>59</v>
      </c>
      <c r="AB39">
        <v>1</v>
      </c>
      <c r="AC39">
        <v>0.76175210002111204</v>
      </c>
      <c r="AD39" t="s">
        <v>60</v>
      </c>
      <c r="AI39" t="s">
        <v>3</v>
      </c>
      <c r="AJ39">
        <v>1</v>
      </c>
      <c r="AK39" t="s">
        <v>81</v>
      </c>
      <c r="AL39" t="s">
        <v>53</v>
      </c>
      <c r="AN39" t="s">
        <v>54</v>
      </c>
      <c r="AO39">
        <v>59.891859258221302</v>
      </c>
      <c r="AP39" t="s">
        <v>82</v>
      </c>
    </row>
    <row r="40" spans="1:42" x14ac:dyDescent="0.3">
      <c r="A40" t="s">
        <v>56</v>
      </c>
      <c r="B40" t="s">
        <v>62</v>
      </c>
      <c r="C40" t="s">
        <v>64</v>
      </c>
      <c r="D40" t="s">
        <v>63</v>
      </c>
      <c r="E40">
        <v>37</v>
      </c>
      <c r="F40">
        <v>1</v>
      </c>
      <c r="G40">
        <v>9</v>
      </c>
      <c r="H40" t="s">
        <v>63</v>
      </c>
      <c r="I40">
        <v>1</v>
      </c>
      <c r="J40">
        <v>0.82839669997338194</v>
      </c>
      <c r="K40" t="s">
        <v>60</v>
      </c>
      <c r="L40">
        <v>9</v>
      </c>
      <c r="M40">
        <v>1</v>
      </c>
      <c r="N40">
        <v>37</v>
      </c>
      <c r="O40">
        <v>1</v>
      </c>
      <c r="P40">
        <v>49.8878753000171</v>
      </c>
      <c r="U40">
        <v>49.875855299993397</v>
      </c>
      <c r="V40">
        <v>49.8878753000171</v>
      </c>
      <c r="W40">
        <v>50.387566199991802</v>
      </c>
      <c r="X40">
        <v>50.387566199991802</v>
      </c>
      <c r="Y40">
        <v>50.387566199991802</v>
      </c>
      <c r="Z40">
        <v>51.220969200017798</v>
      </c>
      <c r="AA40" t="s">
        <v>63</v>
      </c>
      <c r="AB40">
        <v>1</v>
      </c>
      <c r="AC40">
        <v>0.82839669997338194</v>
      </c>
      <c r="AD40" t="s">
        <v>60</v>
      </c>
      <c r="AI40" t="s">
        <v>3</v>
      </c>
      <c r="AJ40">
        <v>1</v>
      </c>
      <c r="AK40" t="s">
        <v>81</v>
      </c>
      <c r="AL40" t="s">
        <v>53</v>
      </c>
      <c r="AN40" t="s">
        <v>54</v>
      </c>
      <c r="AO40">
        <v>59.891859258221302</v>
      </c>
      <c r="AP40" t="s">
        <v>82</v>
      </c>
    </row>
    <row r="41" spans="1:42" x14ac:dyDescent="0.3">
      <c r="A41" t="s">
        <v>56</v>
      </c>
      <c r="B41" t="s">
        <v>57</v>
      </c>
      <c r="C41" t="s">
        <v>58</v>
      </c>
      <c r="D41" t="s">
        <v>59</v>
      </c>
      <c r="E41">
        <v>38</v>
      </c>
      <c r="F41">
        <v>2</v>
      </c>
      <c r="G41">
        <v>9</v>
      </c>
      <c r="H41" t="s">
        <v>59</v>
      </c>
      <c r="I41">
        <v>1</v>
      </c>
      <c r="J41">
        <v>0.73697109997738097</v>
      </c>
      <c r="K41" t="s">
        <v>60</v>
      </c>
      <c r="L41">
        <v>9</v>
      </c>
      <c r="M41">
        <v>2</v>
      </c>
      <c r="N41">
        <v>38</v>
      </c>
      <c r="O41">
        <v>0</v>
      </c>
      <c r="P41">
        <v>51.237013800011397</v>
      </c>
      <c r="U41">
        <v>51.221833800023802</v>
      </c>
      <c r="V41">
        <v>51.237013800011397</v>
      </c>
      <c r="W41">
        <v>51.7367357999901</v>
      </c>
      <c r="X41">
        <v>51.7367357999901</v>
      </c>
      <c r="Y41">
        <v>51.7367357999901</v>
      </c>
      <c r="Z41">
        <v>52.486735100042999</v>
      </c>
      <c r="AA41" t="s">
        <v>59</v>
      </c>
      <c r="AB41">
        <v>1</v>
      </c>
      <c r="AC41">
        <v>0.73697109997738097</v>
      </c>
      <c r="AD41" t="s">
        <v>60</v>
      </c>
      <c r="AI41" t="s">
        <v>3</v>
      </c>
      <c r="AJ41">
        <v>1</v>
      </c>
      <c r="AK41" t="s">
        <v>81</v>
      </c>
      <c r="AL41" t="s">
        <v>53</v>
      </c>
      <c r="AN41" t="s">
        <v>54</v>
      </c>
      <c r="AO41">
        <v>59.891859258221302</v>
      </c>
      <c r="AP41" t="s">
        <v>82</v>
      </c>
    </row>
    <row r="42" spans="1:42" x14ac:dyDescent="0.3">
      <c r="A42" t="s">
        <v>61</v>
      </c>
      <c r="B42" t="s">
        <v>62</v>
      </c>
      <c r="C42" t="s">
        <v>58</v>
      </c>
      <c r="D42" t="s">
        <v>63</v>
      </c>
      <c r="E42">
        <v>39</v>
      </c>
      <c r="F42">
        <v>3</v>
      </c>
      <c r="G42">
        <v>9</v>
      </c>
      <c r="H42" t="s">
        <v>63</v>
      </c>
      <c r="I42">
        <v>1</v>
      </c>
      <c r="J42">
        <v>0.76883159996941597</v>
      </c>
      <c r="K42" t="s">
        <v>60</v>
      </c>
      <c r="L42">
        <v>9</v>
      </c>
      <c r="M42">
        <v>3</v>
      </c>
      <c r="N42">
        <v>39</v>
      </c>
      <c r="O42">
        <v>3</v>
      </c>
      <c r="P42">
        <v>52.502705199993201</v>
      </c>
      <c r="U42">
        <v>52.490913500019801</v>
      </c>
      <c r="V42">
        <v>52.502705199993201</v>
      </c>
      <c r="W42">
        <v>52.985954200034001</v>
      </c>
      <c r="X42">
        <v>52.985954200034001</v>
      </c>
      <c r="Y42">
        <v>52.985954200034001</v>
      </c>
      <c r="Z42">
        <v>53.769506300042799</v>
      </c>
      <c r="AA42" t="s">
        <v>63</v>
      </c>
      <c r="AB42">
        <v>1</v>
      </c>
      <c r="AC42">
        <v>0.76883159996941597</v>
      </c>
      <c r="AD42" t="s">
        <v>60</v>
      </c>
      <c r="AI42" t="s">
        <v>3</v>
      </c>
      <c r="AJ42">
        <v>1</v>
      </c>
      <c r="AK42" t="s">
        <v>81</v>
      </c>
      <c r="AL42" t="s">
        <v>53</v>
      </c>
      <c r="AN42" t="s">
        <v>54</v>
      </c>
      <c r="AO42">
        <v>59.891859258221302</v>
      </c>
      <c r="AP42" t="s">
        <v>82</v>
      </c>
    </row>
    <row r="43" spans="1:42" x14ac:dyDescent="0.3">
      <c r="AE43">
        <v>53.769710400025303</v>
      </c>
      <c r="AF43">
        <v>53.785410100012001</v>
      </c>
      <c r="AG43">
        <v>54.784661800018498</v>
      </c>
      <c r="AH43">
        <v>54.768498999997902</v>
      </c>
      <c r="AI43" t="s">
        <v>3</v>
      </c>
      <c r="AJ43">
        <v>1</v>
      </c>
      <c r="AK43" t="s">
        <v>81</v>
      </c>
      <c r="AL43" t="s">
        <v>53</v>
      </c>
      <c r="AN43" t="s">
        <v>54</v>
      </c>
      <c r="AO43">
        <v>59.891859258221302</v>
      </c>
      <c r="AP43" t="s">
        <v>82</v>
      </c>
    </row>
    <row r="45" spans="1:42" x14ac:dyDescent="0.3">
      <c r="A45" t="s">
        <v>76</v>
      </c>
      <c r="B45" s="1">
        <f>AVERAGEIF(C3:C42,"C",J3:J42)</f>
        <v>0.73695922999468133</v>
      </c>
    </row>
    <row r="46" spans="1:42" x14ac:dyDescent="0.3">
      <c r="A46" t="s">
        <v>66</v>
      </c>
      <c r="B46" s="1">
        <f>AVERAGEIF(C3:C42,"I",J3:J42)</f>
        <v>0.86807671500136985</v>
      </c>
    </row>
    <row r="47" spans="1:42" x14ac:dyDescent="0.3">
      <c r="A47" t="s">
        <v>8</v>
      </c>
      <c r="B47" s="1">
        <f>B46-B45</f>
        <v>0.13111748500668852</v>
      </c>
    </row>
    <row r="49" spans="1:2" x14ac:dyDescent="0.3">
      <c r="A49" t="s">
        <v>77</v>
      </c>
      <c r="B49" s="1">
        <f>_xlfn.STDEV.S([3]Sheet1!A3:A22)</f>
        <v>0.47325767824547288</v>
      </c>
    </row>
    <row r="50" spans="1:2" x14ac:dyDescent="0.3">
      <c r="A50" t="s">
        <v>78</v>
      </c>
      <c r="B50" s="1">
        <f>_xlfn.STDEV.S([3]Sheet1!B3:B22)</f>
        <v>0.28062401297979522</v>
      </c>
    </row>
    <row r="53" spans="1:2" x14ac:dyDescent="0.3">
      <c r="A53" t="s">
        <v>69</v>
      </c>
      <c r="B53" t="s">
        <v>70</v>
      </c>
    </row>
    <row r="54" spans="1:2" x14ac:dyDescent="0.3">
      <c r="A54" t="s">
        <v>71</v>
      </c>
      <c r="B54" t="s">
        <v>71</v>
      </c>
    </row>
    <row r="55" spans="1:2" x14ac:dyDescent="0.3">
      <c r="A55">
        <v>2.4481531999772401</v>
      </c>
      <c r="B55">
        <v>1.5497392999823201</v>
      </c>
    </row>
    <row r="56" spans="1:2" x14ac:dyDescent="0.3">
      <c r="A56">
        <v>1.44279760000063</v>
      </c>
      <c r="B56">
        <v>1.0554888999904499</v>
      </c>
    </row>
    <row r="57" spans="1:2" x14ac:dyDescent="0.3">
      <c r="A57">
        <v>0.90328999998746395</v>
      </c>
      <c r="B57">
        <v>0.99414710002020001</v>
      </c>
    </row>
    <row r="58" spans="1:2" x14ac:dyDescent="0.3">
      <c r="A58">
        <v>0.66632379998918601</v>
      </c>
      <c r="B58">
        <v>0.89929039997514304</v>
      </c>
    </row>
    <row r="59" spans="1:2" x14ac:dyDescent="0.3">
      <c r="A59">
        <v>0.52325440000277001</v>
      </c>
      <c r="B59">
        <v>1.14087330002803</v>
      </c>
    </row>
    <row r="60" spans="1:2" x14ac:dyDescent="0.3">
      <c r="A60">
        <v>0.38581249996786898</v>
      </c>
      <c r="B60">
        <v>1.0459967000060699</v>
      </c>
    </row>
    <row r="61" spans="1:2" x14ac:dyDescent="0.3">
      <c r="A61">
        <v>0.52483470004517496</v>
      </c>
      <c r="B61">
        <v>1.01344670000253</v>
      </c>
    </row>
    <row r="62" spans="1:2" x14ac:dyDescent="0.3">
      <c r="A62">
        <v>0.35396610002499002</v>
      </c>
      <c r="B62">
        <v>0.82318949996260904</v>
      </c>
    </row>
    <row r="63" spans="1:2" x14ac:dyDescent="0.3">
      <c r="A63">
        <v>0.56459579995134801</v>
      </c>
      <c r="B63">
        <v>0.79235639999387697</v>
      </c>
    </row>
    <row r="64" spans="1:2" x14ac:dyDescent="0.3">
      <c r="A64">
        <v>0.76697160000912801</v>
      </c>
      <c r="B64">
        <v>0.98241280001820996</v>
      </c>
    </row>
    <row r="65" spans="1:2" x14ac:dyDescent="0.3">
      <c r="A65">
        <v>0.45451750000938701</v>
      </c>
      <c r="B65">
        <v>0.75199409999186095</v>
      </c>
    </row>
    <row r="66" spans="1:2" x14ac:dyDescent="0.3">
      <c r="A66">
        <v>0.75627309997798797</v>
      </c>
      <c r="B66">
        <v>0.70048170001246002</v>
      </c>
    </row>
    <row r="67" spans="1:2" x14ac:dyDescent="0.3">
      <c r="A67">
        <v>0.66077660000882998</v>
      </c>
      <c r="B67">
        <v>1.3154383999644701</v>
      </c>
    </row>
    <row r="68" spans="1:2" x14ac:dyDescent="0.3">
      <c r="A68">
        <v>0.360154499998316</v>
      </c>
      <c r="B68">
        <v>0.69450860004871995</v>
      </c>
    </row>
    <row r="69" spans="1:2" x14ac:dyDescent="0.3">
      <c r="A69">
        <v>0.32751069997902899</v>
      </c>
      <c r="B69">
        <v>0.439948000013828</v>
      </c>
    </row>
    <row r="70" spans="1:2" x14ac:dyDescent="0.3">
      <c r="A70">
        <v>0.66735359997255705</v>
      </c>
      <c r="B70">
        <v>0.46639630000572602</v>
      </c>
    </row>
    <row r="71" spans="1:2" x14ac:dyDescent="0.3">
      <c r="A71">
        <v>0.677200400037691</v>
      </c>
      <c r="B71">
        <v>0.51117289997637205</v>
      </c>
    </row>
    <row r="72" spans="1:2" x14ac:dyDescent="0.3">
      <c r="A72">
        <v>0.74959580000722703</v>
      </c>
      <c r="B72">
        <v>0.59450440004002303</v>
      </c>
    </row>
    <row r="73" spans="1:2" x14ac:dyDescent="0.3">
      <c r="A73">
        <v>0.73697109997738097</v>
      </c>
      <c r="B73">
        <v>0.76175210002111204</v>
      </c>
    </row>
    <row r="74" spans="1:2" x14ac:dyDescent="0.3">
      <c r="A74">
        <v>0.76883159996941597</v>
      </c>
      <c r="B74">
        <v>0.82839669997338194</v>
      </c>
    </row>
    <row r="75" spans="1:2" x14ac:dyDescent="0.3">
      <c r="A75" t="s">
        <v>83</v>
      </c>
    </row>
    <row r="76" spans="1:2" x14ac:dyDescent="0.3">
      <c r="A76" s="1">
        <f>_xlfn.T.TEST(A55:A74,B55:B74, 2, 1)</f>
        <v>0.14252155442801331</v>
      </c>
      <c r="B76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E008-62CC-450E-80C0-DF58F663A869}">
  <dimension ref="A1:F15"/>
  <sheetViews>
    <sheetView tabSelected="1" topLeftCell="A17" workbookViewId="0">
      <selection activeCell="P7" sqref="P7"/>
    </sheetView>
  </sheetViews>
  <sheetFormatPr defaultRowHeight="14.4" x14ac:dyDescent="0.3"/>
  <cols>
    <col min="1" max="1" width="10.5546875" bestFit="1" customWidth="1"/>
    <col min="2" max="2" width="13.33203125" bestFit="1" customWidth="1"/>
    <col min="3" max="3" width="12.77734375" bestFit="1" customWidth="1"/>
    <col min="4" max="4" width="14.5546875" bestFit="1" customWidth="1"/>
    <col min="5" max="5" width="13.6640625" bestFit="1" customWidth="1"/>
    <col min="6" max="6" width="12" bestFit="1" customWidth="1"/>
  </cols>
  <sheetData>
    <row r="1" spans="1:6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3">
      <c r="A2" s="2" t="s">
        <v>1</v>
      </c>
      <c r="B2" s="3">
        <f>AVERAGEIF('subject 1'!C3:C42,"C",'subject 1'!J3:J42)</f>
        <v>0.74675387500319512</v>
      </c>
      <c r="C2" s="3">
        <v>0.22882333499999999</v>
      </c>
      <c r="D2" s="2">
        <v>0.42246052899999997</v>
      </c>
      <c r="E2" s="2">
        <v>0.42246052899999997</v>
      </c>
      <c r="F2" s="2">
        <v>0.23732839999999999</v>
      </c>
    </row>
    <row r="3" spans="1:6" x14ac:dyDescent="0.3">
      <c r="A3" s="2" t="s">
        <v>2</v>
      </c>
      <c r="B3" s="2">
        <f>AVERAGEIF('subject 2'!C3:C42,"C",'subject 2'!J3:J42)</f>
        <v>0.59519232999882576</v>
      </c>
      <c r="C3" s="2">
        <v>0.22307025999999999</v>
      </c>
      <c r="D3" s="2">
        <v>0.70014798499999997</v>
      </c>
      <c r="E3" s="2">
        <v>0.21394539000000001</v>
      </c>
      <c r="F3" s="2">
        <v>0.10495565499999999</v>
      </c>
    </row>
    <row r="4" spans="1:6" x14ac:dyDescent="0.3">
      <c r="A4" s="2" t="s">
        <v>3</v>
      </c>
      <c r="B4" s="2">
        <f>AVERAGEIF('subject 3'!C3:C42,"C",'subject 3'!J3:J42)</f>
        <v>0.73695922999468133</v>
      </c>
      <c r="C4" s="2">
        <v>0.47325767800000001</v>
      </c>
      <c r="D4" s="2">
        <v>0.86807671500000005</v>
      </c>
      <c r="E4" s="2">
        <v>0.28062401300000001</v>
      </c>
      <c r="F4" s="2">
        <v>0.13111748500000001</v>
      </c>
    </row>
    <row r="6" spans="1:6" x14ac:dyDescent="0.3">
      <c r="A6" s="2" t="s">
        <v>0</v>
      </c>
      <c r="B6" s="2" t="s">
        <v>4</v>
      </c>
      <c r="C6" s="2" t="s">
        <v>6</v>
      </c>
      <c r="D6" s="2" t="s">
        <v>8</v>
      </c>
    </row>
    <row r="7" spans="1:6" x14ac:dyDescent="0.3">
      <c r="A7" s="2" t="s">
        <v>1</v>
      </c>
      <c r="B7" s="3">
        <f>AVERAGEIF('subject 1'!C8:C47,"C",'subject 1'!J8:J47)</f>
        <v>0.72072884444625862</v>
      </c>
      <c r="C7" s="2">
        <v>0.42246052899999997</v>
      </c>
      <c r="D7" s="2">
        <v>0.23732839999999999</v>
      </c>
    </row>
    <row r="8" spans="1:6" x14ac:dyDescent="0.3">
      <c r="A8" s="2" t="s">
        <v>2</v>
      </c>
      <c r="B8" s="2">
        <f>AVERAGEIF('subject 2'!C8:C47,"C",'subject 2'!J8:J47)</f>
        <v>0.56670655555272775</v>
      </c>
      <c r="C8" s="2">
        <v>0.70014798499999997</v>
      </c>
      <c r="D8" s="2">
        <v>0.10495565499999999</v>
      </c>
    </row>
    <row r="9" spans="1:6" x14ac:dyDescent="0.3">
      <c r="A9" s="2" t="s">
        <v>3</v>
      </c>
      <c r="B9" s="2">
        <f>AVERAGEIF('subject 3'!C8:C47,"C",'subject 3'!J8:J47)</f>
        <v>0.60267965555087522</v>
      </c>
      <c r="C9" s="2">
        <v>0.86807671500000005</v>
      </c>
      <c r="D9" s="2">
        <v>0.13111748500000001</v>
      </c>
    </row>
    <row r="10" spans="1:6" x14ac:dyDescent="0.3">
      <c r="C10" t="s">
        <v>84</v>
      </c>
      <c r="D10" s="1">
        <f>AVERAGE(D7:D9)</f>
        <v>0.15780051333333334</v>
      </c>
    </row>
    <row r="11" spans="1:6" x14ac:dyDescent="0.3">
      <c r="C11" t="s">
        <v>85</v>
      </c>
      <c r="D11" s="1">
        <f>_xlfn.STDEV.S(D7:D9)</f>
        <v>7.0104378647035018E-2</v>
      </c>
    </row>
    <row r="13" spans="1:6" x14ac:dyDescent="0.3">
      <c r="C13" t="s">
        <v>80</v>
      </c>
      <c r="D13" s="1">
        <f>D10 / (D11/SQRT(3))</f>
        <v>3.8987365957538951</v>
      </c>
    </row>
    <row r="14" spans="1:6" x14ac:dyDescent="0.3">
      <c r="C14" t="s">
        <v>86</v>
      </c>
      <c r="D14" s="1">
        <f>3-1</f>
        <v>2</v>
      </c>
    </row>
    <row r="15" spans="1:6" x14ac:dyDescent="0.3">
      <c r="C15" t="s">
        <v>87</v>
      </c>
      <c r="D15" s="1">
        <f>_xlfn.T.DIST.2T(ABS(D13),2)</f>
        <v>5.9935148888302869E-2</v>
      </c>
    </row>
  </sheetData>
  <pageMargins left="0.7" right="0.7" top="0.75" bottom="0.75" header="0.3" footer="0.3"/>
  <ignoredErrors>
    <ignoredError sqref="B7:B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subject 1</vt:lpstr>
      <vt:lpstr>subject 2</vt:lpstr>
      <vt:lpstr>subject 3</vt:lpstr>
      <vt:lpstr>combines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Prajapati</dc:creator>
  <cp:lastModifiedBy>Niyati Prajapati</cp:lastModifiedBy>
  <dcterms:created xsi:type="dcterms:W3CDTF">2025-08-25T13:05:13Z</dcterms:created>
  <dcterms:modified xsi:type="dcterms:W3CDTF">2025-08-25T13:57:50Z</dcterms:modified>
</cp:coreProperties>
</file>